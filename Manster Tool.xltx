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yurk\OneDrive\Documents\Custom Office Templates\"/>
    </mc:Choice>
  </mc:AlternateContent>
  <xr:revisionPtr revIDLastSave="0" documentId="13_ncr:1_{48CD0365-4997-4BA3-BF70-87467BFBCF9F}" xr6:coauthVersionLast="47" xr6:coauthVersionMax="47" xr10:uidLastSave="{00000000-0000-0000-0000-000000000000}"/>
  <bookViews>
    <workbookView xWindow="-7185" yWindow="5205" windowWidth="14610" windowHeight="10350" xr2:uid="{52D70303-D8B5-4010-B247-9C57E22B19B0}"/>
  </bookViews>
  <sheets>
    <sheet name="Monster" sheetId="1" r:id="rId1"/>
    <sheet name="Attacks" sheetId="5" r:id="rId2"/>
    <sheet name="Speed" sheetId="11" r:id="rId3"/>
    <sheet name="Skills" sheetId="10" r:id="rId4"/>
    <sheet name="Saves" sheetId="9" r:id="rId5"/>
    <sheet name="DMG" sheetId="6" r:id="rId6"/>
    <sheet name="Senses" sheetId="4" r:id="rId7"/>
    <sheet name="Condition &amp; Damage Types" sheetId="2" r:id="rId8"/>
    <sheet name="XP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0" l="1"/>
  <c r="D8" i="10"/>
  <c r="D11" i="10"/>
  <c r="D13" i="10"/>
  <c r="D19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I17" i="5"/>
  <c r="U37" i="1" s="1"/>
  <c r="I18" i="5"/>
  <c r="V38" i="1" s="1"/>
  <c r="I19" i="5"/>
  <c r="X39" i="1" s="1"/>
  <c r="I20" i="5"/>
  <c r="V40" i="1" s="1"/>
  <c r="I21" i="5"/>
  <c r="S41" i="1" s="1"/>
  <c r="I22" i="5"/>
  <c r="S42" i="1" s="1"/>
  <c r="I16" i="5"/>
  <c r="S36" i="1" s="1"/>
  <c r="H22" i="5"/>
  <c r="H21" i="5"/>
  <c r="H20" i="5"/>
  <c r="H19" i="5"/>
  <c r="H18" i="5"/>
  <c r="H17" i="5"/>
  <c r="H16" i="5"/>
  <c r="G17" i="5"/>
  <c r="G18" i="5"/>
  <c r="G19" i="5"/>
  <c r="G20" i="5"/>
  <c r="G21" i="5"/>
  <c r="G22" i="5"/>
  <c r="G16" i="5"/>
  <c r="E22" i="5"/>
  <c r="E21" i="5"/>
  <c r="D22" i="5"/>
  <c r="D21" i="5"/>
  <c r="E20" i="5"/>
  <c r="D20" i="5"/>
  <c r="E19" i="5"/>
  <c r="D19" i="5"/>
  <c r="E18" i="5"/>
  <c r="D18" i="5"/>
  <c r="E17" i="5"/>
  <c r="D17" i="5"/>
  <c r="E16" i="5"/>
  <c r="D16" i="5"/>
  <c r="B22" i="5"/>
  <c r="B21" i="5"/>
  <c r="B20" i="5"/>
  <c r="B19" i="5"/>
  <c r="B18" i="5"/>
  <c r="B17" i="5"/>
  <c r="B16" i="5"/>
  <c r="B3" i="11"/>
  <c r="C3" i="11" s="1"/>
  <c r="B4" i="11"/>
  <c r="B5" i="11"/>
  <c r="C5" i="11" s="1"/>
  <c r="B6" i="11"/>
  <c r="C6" i="11" s="1"/>
  <c r="B2" i="11"/>
  <c r="C2" i="11" s="1"/>
  <c r="E3" i="10"/>
  <c r="F3" i="10"/>
  <c r="E4" i="10"/>
  <c r="F4" i="10"/>
  <c r="E5" i="10"/>
  <c r="F5" i="10"/>
  <c r="E6" i="10"/>
  <c r="F6" i="10"/>
  <c r="E7" i="10"/>
  <c r="F7" i="10"/>
  <c r="E8" i="10"/>
  <c r="F8" i="10"/>
  <c r="E9" i="10"/>
  <c r="F9" i="10"/>
  <c r="E10" i="10"/>
  <c r="F10" i="10"/>
  <c r="E11" i="10"/>
  <c r="F11" i="10"/>
  <c r="E12" i="10"/>
  <c r="F12" i="10"/>
  <c r="E13" i="10"/>
  <c r="F13" i="10"/>
  <c r="E14" i="10"/>
  <c r="F14" i="10"/>
  <c r="E15" i="10"/>
  <c r="F15" i="10"/>
  <c r="E16" i="10"/>
  <c r="F16" i="10"/>
  <c r="E17" i="10"/>
  <c r="F17" i="10"/>
  <c r="E18" i="10"/>
  <c r="F18" i="10"/>
  <c r="E19" i="10"/>
  <c r="F19" i="10"/>
  <c r="F2" i="10"/>
  <c r="E2" i="10"/>
  <c r="E3" i="9"/>
  <c r="E4" i="9"/>
  <c r="E5" i="9"/>
  <c r="E6" i="9"/>
  <c r="E7" i="9"/>
  <c r="E2" i="9"/>
  <c r="D3" i="9"/>
  <c r="D4" i="9"/>
  <c r="D5" i="9"/>
  <c r="D6" i="9"/>
  <c r="D7" i="9"/>
  <c r="D2" i="9"/>
  <c r="C3" i="9"/>
  <c r="C4" i="9"/>
  <c r="C5" i="9"/>
  <c r="C6" i="9"/>
  <c r="C7" i="9"/>
  <c r="C2" i="9"/>
  <c r="T27" i="1"/>
  <c r="I71" i="1"/>
  <c r="J71" i="1" s="1"/>
  <c r="U56" i="1"/>
  <c r="O56" i="1"/>
  <c r="J56" i="1"/>
  <c r="G19" i="10" l="1"/>
  <c r="H19" i="10" s="1"/>
  <c r="T39" i="1"/>
  <c r="S40" i="1"/>
  <c r="S39" i="1"/>
  <c r="S38" i="1"/>
  <c r="S37" i="1"/>
  <c r="X38" i="1"/>
  <c r="V39" i="1"/>
  <c r="X40" i="1"/>
  <c r="T41" i="1"/>
  <c r="U36" i="1"/>
  <c r="T36" i="1"/>
  <c r="V41" i="1"/>
  <c r="U42" i="1"/>
  <c r="U41" i="1"/>
  <c r="X36" i="1"/>
  <c r="T42" i="1"/>
  <c r="U40" i="1"/>
  <c r="T40" i="1"/>
  <c r="T37" i="1"/>
  <c r="V42" i="1"/>
  <c r="U39" i="1"/>
  <c r="V36" i="1"/>
  <c r="V37" i="1"/>
  <c r="X42" i="1"/>
  <c r="U38" i="1"/>
  <c r="X41" i="1"/>
  <c r="X37" i="1"/>
  <c r="T38" i="1"/>
  <c r="C4" i="11"/>
  <c r="B8" i="11" s="1" a="1"/>
  <c r="B8" i="11" s="1"/>
  <c r="H54" i="1" l="1"/>
  <c r="A13" i="5" l="1"/>
  <c r="A12" i="5"/>
  <c r="A11" i="5"/>
  <c r="A10" i="5"/>
  <c r="A9" i="5"/>
  <c r="A8" i="5"/>
  <c r="A7" i="5"/>
  <c r="G4" i="5"/>
  <c r="F4" i="5"/>
  <c r="E4" i="5"/>
  <c r="D4" i="5"/>
  <c r="C4" i="5"/>
  <c r="B4" i="5"/>
  <c r="A4" i="5"/>
  <c r="G3" i="5"/>
  <c r="F3" i="5"/>
  <c r="E3" i="5"/>
  <c r="D3" i="5"/>
  <c r="C3" i="5"/>
  <c r="B3" i="5"/>
  <c r="A3" i="5"/>
  <c r="G2" i="5"/>
  <c r="F2" i="5"/>
  <c r="E2" i="5"/>
  <c r="D2" i="5"/>
  <c r="C2" i="5"/>
  <c r="B2" i="5"/>
  <c r="A2" i="5"/>
  <c r="I35" i="6"/>
  <c r="H35" i="6"/>
  <c r="E35" i="6"/>
  <c r="D35" i="6"/>
  <c r="I34" i="6"/>
  <c r="H34" i="6"/>
  <c r="E34" i="6"/>
  <c r="D34" i="6"/>
  <c r="I33" i="6"/>
  <c r="H33" i="6"/>
  <c r="E33" i="6"/>
  <c r="D33" i="6"/>
  <c r="I32" i="6"/>
  <c r="H32" i="6"/>
  <c r="E32" i="6"/>
  <c r="D32" i="6"/>
  <c r="I31" i="6"/>
  <c r="H31" i="6"/>
  <c r="E31" i="6"/>
  <c r="D31" i="6"/>
  <c r="I30" i="6"/>
  <c r="H30" i="6"/>
  <c r="E30" i="6"/>
  <c r="D30" i="6"/>
  <c r="I29" i="6"/>
  <c r="H29" i="6"/>
  <c r="E29" i="6"/>
  <c r="D29" i="6"/>
  <c r="I28" i="6"/>
  <c r="H28" i="6"/>
  <c r="E28" i="6"/>
  <c r="D28" i="6"/>
  <c r="I27" i="6"/>
  <c r="H27" i="6"/>
  <c r="E27" i="6"/>
  <c r="D27" i="6"/>
  <c r="I26" i="6"/>
  <c r="H26" i="6"/>
  <c r="E26" i="6"/>
  <c r="D26" i="6"/>
  <c r="I25" i="6"/>
  <c r="H25" i="6"/>
  <c r="E25" i="6"/>
  <c r="D25" i="6"/>
  <c r="I24" i="6"/>
  <c r="H24" i="6"/>
  <c r="E24" i="6"/>
  <c r="D24" i="6"/>
  <c r="I23" i="6"/>
  <c r="H23" i="6"/>
  <c r="E23" i="6"/>
  <c r="D23" i="6"/>
  <c r="I22" i="6"/>
  <c r="H22" i="6"/>
  <c r="E22" i="6"/>
  <c r="D22" i="6"/>
  <c r="I21" i="6"/>
  <c r="H21" i="6"/>
  <c r="E21" i="6"/>
  <c r="D21" i="6"/>
  <c r="I20" i="6"/>
  <c r="H20" i="6"/>
  <c r="E20" i="6"/>
  <c r="D20" i="6"/>
  <c r="I19" i="6"/>
  <c r="H19" i="6"/>
  <c r="E19" i="6"/>
  <c r="D19" i="6"/>
  <c r="I18" i="6"/>
  <c r="H18" i="6"/>
  <c r="E18" i="6"/>
  <c r="D18" i="6"/>
  <c r="I17" i="6"/>
  <c r="H17" i="6"/>
  <c r="E17" i="6"/>
  <c r="D17" i="6"/>
  <c r="I16" i="6"/>
  <c r="H16" i="6"/>
  <c r="E16" i="6"/>
  <c r="D16" i="6"/>
  <c r="I15" i="6"/>
  <c r="H15" i="6"/>
  <c r="E15" i="6"/>
  <c r="D15" i="6"/>
  <c r="I14" i="6"/>
  <c r="H14" i="6"/>
  <c r="E14" i="6"/>
  <c r="D14" i="6"/>
  <c r="I13" i="6"/>
  <c r="H13" i="6"/>
  <c r="E13" i="6"/>
  <c r="D13" i="6"/>
  <c r="I12" i="6"/>
  <c r="H12" i="6"/>
  <c r="E12" i="6"/>
  <c r="D12" i="6"/>
  <c r="I11" i="6"/>
  <c r="H11" i="6"/>
  <c r="E11" i="6"/>
  <c r="D11" i="6"/>
  <c r="I10" i="6"/>
  <c r="H10" i="6"/>
  <c r="E10" i="6"/>
  <c r="D10" i="6"/>
  <c r="I9" i="6"/>
  <c r="H9" i="6"/>
  <c r="E9" i="6"/>
  <c r="D9" i="6"/>
  <c r="I8" i="6"/>
  <c r="H8" i="6"/>
  <c r="E8" i="6"/>
  <c r="D8" i="6"/>
  <c r="I7" i="6"/>
  <c r="H7" i="6"/>
  <c r="E7" i="6"/>
  <c r="D7" i="6"/>
  <c r="I6" i="6"/>
  <c r="H6" i="6"/>
  <c r="E6" i="6"/>
  <c r="D6" i="6"/>
  <c r="I5" i="6"/>
  <c r="H5" i="6"/>
  <c r="E5" i="6"/>
  <c r="D5" i="6"/>
  <c r="I4" i="6"/>
  <c r="H4" i="6"/>
  <c r="E4" i="6"/>
  <c r="D4" i="6"/>
  <c r="I3" i="6"/>
  <c r="H3" i="6"/>
  <c r="E3" i="6"/>
  <c r="D3" i="6"/>
  <c r="I2" i="6"/>
  <c r="H2" i="6"/>
  <c r="E2" i="6"/>
  <c r="D2" i="6"/>
  <c r="G38" i="1"/>
  <c r="J22" i="5" s="1"/>
  <c r="G34" i="1"/>
  <c r="J21" i="5" s="1"/>
  <c r="G30" i="1"/>
  <c r="J20" i="5" s="1"/>
  <c r="G26" i="1"/>
  <c r="J19" i="5" s="1"/>
  <c r="G22" i="1"/>
  <c r="J18" i="5" s="1"/>
  <c r="G18" i="1"/>
  <c r="J17" i="5" s="1"/>
  <c r="G14" i="1"/>
  <c r="J16" i="5" s="1"/>
  <c r="B2" i="4"/>
  <c r="B3" i="4"/>
  <c r="C3" i="4" s="1"/>
  <c r="B4" i="4"/>
  <c r="C4" i="4" s="1"/>
  <c r="B1" i="4"/>
  <c r="C1" i="4" s="1"/>
  <c r="H47" i="1" a="1"/>
  <c r="H47" i="1" s="1"/>
  <c r="H46" i="1" a="1"/>
  <c r="H46" i="1" s="1"/>
  <c r="H45" i="1" a="1"/>
  <c r="H45" i="1" s="1"/>
  <c r="H44" i="1" a="1"/>
  <c r="H44" i="1" s="1"/>
  <c r="E3" i="2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42" i="1"/>
  <c r="C4" i="2"/>
  <c r="D4" i="2"/>
  <c r="E4" i="2"/>
  <c r="C5" i="2"/>
  <c r="D5" i="2"/>
  <c r="E5" i="2"/>
  <c r="C6" i="2"/>
  <c r="D6" i="2"/>
  <c r="E6" i="2"/>
  <c r="C7" i="2"/>
  <c r="D7" i="2"/>
  <c r="E7" i="2"/>
  <c r="C8" i="2"/>
  <c r="D8" i="2"/>
  <c r="E8" i="2"/>
  <c r="C9" i="2"/>
  <c r="D9" i="2"/>
  <c r="E9" i="2"/>
  <c r="C10" i="2"/>
  <c r="D10" i="2"/>
  <c r="E10" i="2"/>
  <c r="C11" i="2"/>
  <c r="D11" i="2"/>
  <c r="E11" i="2"/>
  <c r="C12" i="2"/>
  <c r="D12" i="2"/>
  <c r="E12" i="2"/>
  <c r="C13" i="2"/>
  <c r="D13" i="2"/>
  <c r="E13" i="2"/>
  <c r="C14" i="2"/>
  <c r="D14" i="2"/>
  <c r="E14" i="2"/>
  <c r="C15" i="2"/>
  <c r="D15" i="2"/>
  <c r="E15" i="2"/>
  <c r="C16" i="2"/>
  <c r="D16" i="2"/>
  <c r="E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D26" i="2"/>
  <c r="E26" i="2"/>
  <c r="C27" i="2"/>
  <c r="D27" i="2"/>
  <c r="E27" i="2"/>
  <c r="C28" i="2"/>
  <c r="D28" i="2"/>
  <c r="E28" i="2"/>
  <c r="C29" i="2"/>
  <c r="D29" i="2"/>
  <c r="E29" i="2"/>
  <c r="C30" i="2"/>
  <c r="D30" i="2"/>
  <c r="E30" i="2"/>
  <c r="C31" i="2"/>
  <c r="D31" i="2"/>
  <c r="E31" i="2"/>
  <c r="C32" i="2"/>
  <c r="D32" i="2"/>
  <c r="E32" i="2"/>
  <c r="C33" i="2"/>
  <c r="D33" i="2"/>
  <c r="E33" i="2"/>
  <c r="D3" i="2"/>
  <c r="C3" i="2"/>
  <c r="O4" i="1"/>
  <c r="B37" i="1"/>
  <c r="B33" i="1"/>
  <c r="B29" i="1"/>
  <c r="B25" i="1"/>
  <c r="B21" i="1"/>
  <c r="B17" i="1"/>
  <c r="B13" i="1"/>
  <c r="V4" i="1"/>
  <c r="V5" i="1"/>
  <c r="V6" i="1"/>
  <c r="V7" i="1"/>
  <c r="V8" i="1"/>
  <c r="V3" i="1"/>
  <c r="D5" i="10" s="1"/>
  <c r="Q30" i="1"/>
  <c r="R30" i="1"/>
  <c r="Q21" i="1" s="1"/>
  <c r="Q22" i="1" s="1"/>
  <c r="P30" i="1"/>
  <c r="P21" i="1" s="1"/>
  <c r="P22" i="1" s="1"/>
  <c r="Q27" i="1"/>
  <c r="Q29" i="1" s="1"/>
  <c r="P27" i="1"/>
  <c r="P29" i="1" s="1"/>
  <c r="R27" i="1"/>
  <c r="R29" i="1" s="1"/>
  <c r="B2" i="1"/>
  <c r="O5" i="1"/>
  <c r="B1" i="1"/>
  <c r="B3" i="9" l="1"/>
  <c r="F3" i="9" s="1"/>
  <c r="G3" i="9" s="1"/>
  <c r="D2" i="10"/>
  <c r="D18" i="10"/>
  <c r="G18" i="10" s="1"/>
  <c r="H18" i="10" s="1"/>
  <c r="D17" i="10"/>
  <c r="G17" i="10" s="1"/>
  <c r="H17" i="10" s="1"/>
  <c r="D4" i="10"/>
  <c r="D7" i="10"/>
  <c r="G7" i="10" s="1"/>
  <c r="H7" i="10" s="1"/>
  <c r="D10" i="10"/>
  <c r="D12" i="10"/>
  <c r="G12" i="10" s="1"/>
  <c r="H12" i="10" s="1"/>
  <c r="D16" i="10"/>
  <c r="G16" i="10" s="1"/>
  <c r="H16" i="10" s="1"/>
  <c r="B7" i="9"/>
  <c r="F7" i="9" s="1"/>
  <c r="G7" i="9" s="1"/>
  <c r="D6" i="10"/>
  <c r="G6" i="10" s="1"/>
  <c r="H6" i="10" s="1"/>
  <c r="D15" i="10"/>
  <c r="G15" i="10" s="1"/>
  <c r="H15" i="10" s="1"/>
  <c r="D14" i="10"/>
  <c r="G14" i="10" s="1"/>
  <c r="H14" i="10" s="1"/>
  <c r="D9" i="10"/>
  <c r="G9" i="10" s="1"/>
  <c r="H9" i="10" s="1"/>
  <c r="G11" i="10"/>
  <c r="H11" i="10" s="1"/>
  <c r="B6" i="9"/>
  <c r="F6" i="9" s="1"/>
  <c r="G6" i="9" s="1"/>
  <c r="G13" i="10"/>
  <c r="H13" i="10" s="1"/>
  <c r="G8" i="10"/>
  <c r="H8" i="10" s="1"/>
  <c r="G2" i="10"/>
  <c r="H2" i="10" s="1"/>
  <c r="G10" i="10"/>
  <c r="H10" i="10" s="1"/>
  <c r="B5" i="9"/>
  <c r="F5" i="9" s="1"/>
  <c r="G5" i="9" s="1"/>
  <c r="O6" i="1"/>
  <c r="G3" i="10"/>
  <c r="G4" i="10"/>
  <c r="H4" i="10" s="1"/>
  <c r="B4" i="9"/>
  <c r="F4" i="9" s="1"/>
  <c r="G4" i="9" s="1"/>
  <c r="G5" i="10"/>
  <c r="H5" i="10" s="1"/>
  <c r="E37" i="1"/>
  <c r="F22" i="5" s="1"/>
  <c r="B2" i="9"/>
  <c r="F2" i="9" s="1"/>
  <c r="E13" i="1"/>
  <c r="F16" i="5" s="1"/>
  <c r="C2" i="4"/>
  <c r="H50" i="1" s="1" a="1"/>
  <c r="H50" i="1" s="1"/>
  <c r="I42" i="1"/>
  <c r="H42" i="1"/>
  <c r="G42" i="1"/>
  <c r="E17" i="1"/>
  <c r="F17" i="5" s="1"/>
  <c r="E21" i="1"/>
  <c r="E25" i="1"/>
  <c r="E29" i="1"/>
  <c r="F20" i="5" s="1"/>
  <c r="E33" i="1"/>
  <c r="B6" i="1"/>
  <c r="R22" i="1"/>
  <c r="B4" i="1"/>
  <c r="B5" i="1"/>
  <c r="C9" i="1"/>
  <c r="A9" i="1"/>
  <c r="H3" i="10" l="1"/>
  <c r="B21" i="10" s="1" a="1"/>
  <c r="B21" i="10" s="1"/>
  <c r="H53" i="1" s="1"/>
  <c r="A29" i="1"/>
  <c r="B11" i="5" s="1"/>
  <c r="A13" i="1"/>
  <c r="B7" i="5" s="1"/>
  <c r="A17" i="1"/>
  <c r="B8" i="5" s="1"/>
  <c r="A21" i="1"/>
  <c r="F18" i="5"/>
  <c r="A25" i="1"/>
  <c r="F19" i="5"/>
  <c r="A33" i="1"/>
  <c r="F21" i="5"/>
  <c r="A37" i="1"/>
  <c r="G2" i="9"/>
  <c r="B9" i="9" s="1" a="1"/>
  <c r="B9" i="9" s="1"/>
  <c r="H52" i="1" s="1"/>
  <c r="O15" i="1"/>
  <c r="O2" i="1" s="1"/>
  <c r="O9" i="1" s="1"/>
  <c r="L2" i="1"/>
  <c r="J42" i="1"/>
  <c r="B9" i="1"/>
  <c r="O1" i="1"/>
  <c r="O8" i="1" s="1"/>
  <c r="R8" i="1" s="1"/>
  <c r="O12" i="1" l="1"/>
  <c r="R11" i="1"/>
  <c r="C17" i="5"/>
  <c r="C16" i="5"/>
  <c r="C20" i="5"/>
  <c r="B13" i="5"/>
  <c r="C22" i="5"/>
  <c r="B12" i="5"/>
  <c r="C21" i="5"/>
  <c r="B9" i="5"/>
  <c r="C18" i="5"/>
  <c r="B10" i="5"/>
  <c r="C19" i="5"/>
  <c r="R9" i="1"/>
  <c r="R12" i="1"/>
  <c r="O11" i="1"/>
  <c r="Q2" i="1" l="1"/>
  <c r="P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<sst xmlns="http://schemas.openxmlformats.org/spreadsheetml/2006/main" count="572" uniqueCount="313">
  <si>
    <t>R1</t>
  </si>
  <si>
    <t>R2</t>
  </si>
  <si>
    <t>R3</t>
  </si>
  <si>
    <t>Min</t>
  </si>
  <si>
    <t>Max</t>
  </si>
  <si>
    <t>Calc</t>
  </si>
  <si>
    <t>D1</t>
  </si>
  <si>
    <t>D2</t>
  </si>
  <si>
    <t>D3</t>
  </si>
  <si>
    <t>D4</t>
  </si>
  <si>
    <t>D5</t>
  </si>
  <si>
    <t>D6</t>
  </si>
  <si>
    <t>D7</t>
  </si>
  <si>
    <t>HP</t>
  </si>
  <si>
    <t>Avg Die</t>
  </si>
  <si>
    <t>Con</t>
  </si>
  <si>
    <t>Min Hit Dice</t>
  </si>
  <si>
    <t>Max Hit Dice</t>
  </si>
  <si>
    <t>Min Avg HP</t>
  </si>
  <si>
    <t>Max Avg HP</t>
  </si>
  <si>
    <t>Min Hp Mod</t>
  </si>
  <si>
    <t>Max Hp Mod</t>
  </si>
  <si>
    <t>Attack</t>
  </si>
  <si>
    <t>Avg Dmg</t>
  </si>
  <si>
    <t>Num Dice</t>
  </si>
  <si>
    <t>d4</t>
  </si>
  <si>
    <t>d6</t>
  </si>
  <si>
    <t>d8</t>
  </si>
  <si>
    <t>d10</t>
  </si>
  <si>
    <t>d12</t>
  </si>
  <si>
    <t>CR</t>
  </si>
  <si>
    <t>Attack Bonus</t>
  </si>
  <si>
    <t>Save DC</t>
  </si>
  <si>
    <t>1–6</t>
  </si>
  <si>
    <t>0–1</t>
  </si>
  <si>
    <t>7–35</t>
  </si>
  <si>
    <t>2–3</t>
  </si>
  <si>
    <t>36–49</t>
  </si>
  <si>
    <t>4–5</t>
  </si>
  <si>
    <t>50–70</t>
  </si>
  <si>
    <t>6–8</t>
  </si>
  <si>
    <t>71–85</t>
  </si>
  <si>
    <t>9–14</t>
  </si>
  <si>
    <t>86–100</t>
  </si>
  <si>
    <t>15–20</t>
  </si>
  <si>
    <t>101–115</t>
  </si>
  <si>
    <t>21–26</t>
  </si>
  <si>
    <t>116–130</t>
  </si>
  <si>
    <t>27–32</t>
  </si>
  <si>
    <t>131–145</t>
  </si>
  <si>
    <t>33–38</t>
  </si>
  <si>
    <t>146–160</t>
  </si>
  <si>
    <t>39–44</t>
  </si>
  <si>
    <t>161–175</t>
  </si>
  <si>
    <t>45–50</t>
  </si>
  <si>
    <t>176–190</t>
  </si>
  <si>
    <t>51–56</t>
  </si>
  <si>
    <t>191–205</t>
  </si>
  <si>
    <t>57–62</t>
  </si>
  <si>
    <t>206–220</t>
  </si>
  <si>
    <t>63–68</t>
  </si>
  <si>
    <t>221–235</t>
  </si>
  <si>
    <t>69–74</t>
  </si>
  <si>
    <t>236–250</t>
  </si>
  <si>
    <t>75–80</t>
  </si>
  <si>
    <t>251–265</t>
  </si>
  <si>
    <t>81–86</t>
  </si>
  <si>
    <t>266–280</t>
  </si>
  <si>
    <t>87–92</t>
  </si>
  <si>
    <t>281–295</t>
  </si>
  <si>
    <t>93–98</t>
  </si>
  <si>
    <t>296–310</t>
  </si>
  <si>
    <t>99–104</t>
  </si>
  <si>
    <t>311–325</t>
  </si>
  <si>
    <t>105–110</t>
  </si>
  <si>
    <t>326–340</t>
  </si>
  <si>
    <t>111–116</t>
  </si>
  <si>
    <t>341–355</t>
  </si>
  <si>
    <t>117–122</t>
  </si>
  <si>
    <t>356–400</t>
  </si>
  <si>
    <t>123–140</t>
  </si>
  <si>
    <t>401–445</t>
  </si>
  <si>
    <t>141–158</t>
  </si>
  <si>
    <t>446–490</t>
  </si>
  <si>
    <t>159–176</t>
  </si>
  <si>
    <t>491–535</t>
  </si>
  <si>
    <t>177–194</t>
  </si>
  <si>
    <t>536–580</t>
  </si>
  <si>
    <t>195–212</t>
  </si>
  <si>
    <t>581–625</t>
  </si>
  <si>
    <t>213–230</t>
  </si>
  <si>
    <t>626–670</t>
  </si>
  <si>
    <t>231–248</t>
  </si>
  <si>
    <t>671–715</t>
  </si>
  <si>
    <t>249–266</t>
  </si>
  <si>
    <t>716–760</t>
  </si>
  <si>
    <t>267–284</t>
  </si>
  <si>
    <t>761–805</t>
  </si>
  <si>
    <t>285–302</t>
  </si>
  <si>
    <t>806–850</t>
  </si>
  <si>
    <t>303–320</t>
  </si>
  <si>
    <t>PB</t>
  </si>
  <si>
    <t>AC</t>
  </si>
  <si>
    <t>Min HP</t>
  </si>
  <si>
    <t>Max HP</t>
  </si>
  <si>
    <t>AB</t>
  </si>
  <si>
    <t>Min Dmg/Rnd</t>
  </si>
  <si>
    <t>Max Dmg/Rnd</t>
  </si>
  <si>
    <t>DMG</t>
  </si>
  <si>
    <t>SV DC</t>
  </si>
  <si>
    <t>OCR</t>
  </si>
  <si>
    <t>DCR</t>
  </si>
  <si>
    <t>Dmg Min</t>
  </si>
  <si>
    <t>Dmg Max</t>
  </si>
  <si>
    <t>HP Min</t>
  </si>
  <si>
    <t>HP Max</t>
  </si>
  <si>
    <t>Str</t>
  </si>
  <si>
    <t>Dex</t>
  </si>
  <si>
    <t>Int</t>
  </si>
  <si>
    <t>Wis</t>
  </si>
  <si>
    <t>Cha</t>
  </si>
  <si>
    <t>Tiny</t>
  </si>
  <si>
    <t>Small</t>
  </si>
  <si>
    <t>Medium</t>
  </si>
  <si>
    <t>Large</t>
  </si>
  <si>
    <t>Huge</t>
  </si>
  <si>
    <t>Gargantuan</t>
  </si>
  <si>
    <t>Size</t>
  </si>
  <si>
    <t>OCR Source</t>
  </si>
  <si>
    <t>Target AB</t>
  </si>
  <si>
    <t>Target SV</t>
  </si>
  <si>
    <t>Mod</t>
  </si>
  <si>
    <t>Total</t>
  </si>
  <si>
    <t>CR Mod</t>
  </si>
  <si>
    <t>Adjusted CR</t>
  </si>
  <si>
    <t>Die Size</t>
  </si>
  <si>
    <t>Avg Roll</t>
  </si>
  <si>
    <t>d20</t>
  </si>
  <si>
    <t>Damage Types</t>
  </si>
  <si>
    <t>Acid</t>
  </si>
  <si>
    <t>Bludgeoning</t>
  </si>
  <si>
    <t>Slashing</t>
  </si>
  <si>
    <t>Piercing</t>
  </si>
  <si>
    <t>Cold</t>
  </si>
  <si>
    <t>Fire</t>
  </si>
  <si>
    <t>Force</t>
  </si>
  <si>
    <t>Lightning</t>
  </si>
  <si>
    <t>Necrotic</t>
  </si>
  <si>
    <t>Poison</t>
  </si>
  <si>
    <t>Psychic</t>
  </si>
  <si>
    <t>Radiant</t>
  </si>
  <si>
    <t>Thunder</t>
  </si>
  <si>
    <t>+</t>
  </si>
  <si>
    <t>Attack List</t>
  </si>
  <si>
    <t>Monster Name</t>
  </si>
  <si>
    <t>Additional Dice</t>
  </si>
  <si>
    <t>Attack Summary</t>
  </si>
  <si>
    <t># Targets</t>
  </si>
  <si>
    <t>Num LRs</t>
  </si>
  <si>
    <t>LR HP Mod</t>
  </si>
  <si>
    <t>LR</t>
  </si>
  <si>
    <t>Multiattack</t>
  </si>
  <si>
    <t>Yes</t>
  </si>
  <si>
    <t>Legendary Actions</t>
  </si>
  <si>
    <t>Mythic Actions</t>
  </si>
  <si>
    <t>Lair Actions</t>
  </si>
  <si>
    <t>Type</t>
  </si>
  <si>
    <t>Abberation</t>
  </si>
  <si>
    <t>Beast</t>
  </si>
  <si>
    <t>Celestial</t>
  </si>
  <si>
    <t>Construct</t>
  </si>
  <si>
    <t>Dragon</t>
  </si>
  <si>
    <t>Elemental</t>
  </si>
  <si>
    <t>Fey</t>
  </si>
  <si>
    <t>Fiend</t>
  </si>
  <si>
    <t>Giant</t>
  </si>
  <si>
    <t>Humanoid</t>
  </si>
  <si>
    <t>Monstrosity</t>
  </si>
  <si>
    <t>Ooze</t>
  </si>
  <si>
    <t>Plant</t>
  </si>
  <si>
    <t>Undead</t>
  </si>
  <si>
    <t>Alignment</t>
  </si>
  <si>
    <t>Lawful Good</t>
  </si>
  <si>
    <t>Lawful Neutral</t>
  </si>
  <si>
    <t>Lawful Evil</t>
  </si>
  <si>
    <t>Neutral Good</t>
  </si>
  <si>
    <t>True Neutral</t>
  </si>
  <si>
    <t>Neutral Evil</t>
  </si>
  <si>
    <t>Chaotic Good</t>
  </si>
  <si>
    <t>Chaotic Neutral</t>
  </si>
  <si>
    <t>Chaotic Evil</t>
  </si>
  <si>
    <t>Any Lawful</t>
  </si>
  <si>
    <t>Any Neutral</t>
  </si>
  <si>
    <t>Any Chaotic</t>
  </si>
  <si>
    <t>Any</t>
  </si>
  <si>
    <t>Unaligned</t>
  </si>
  <si>
    <t>Any Good</t>
  </si>
  <si>
    <t>Any Evil</t>
  </si>
  <si>
    <t>Armor</t>
  </si>
  <si>
    <t>Natural</t>
  </si>
  <si>
    <t>Conditions</t>
  </si>
  <si>
    <t>Blinded</t>
  </si>
  <si>
    <t>Charmed</t>
  </si>
  <si>
    <t>Deafened</t>
  </si>
  <si>
    <t>Exaustion</t>
  </si>
  <si>
    <t>Frightened</t>
  </si>
  <si>
    <t>Grappled</t>
  </si>
  <si>
    <t>Incapacitated</t>
  </si>
  <si>
    <t>Invisible</t>
  </si>
  <si>
    <t>Paralyzed</t>
  </si>
  <si>
    <t>Petrified</t>
  </si>
  <si>
    <t>Poisoned</t>
  </si>
  <si>
    <t>Prone</t>
  </si>
  <si>
    <t>Restrained</t>
  </si>
  <si>
    <t>Stunned</t>
  </si>
  <si>
    <t>Unconscious</t>
  </si>
  <si>
    <t>Conditions and Damage Types</t>
  </si>
  <si>
    <t>Num Resistant</t>
  </si>
  <si>
    <t>Num Immune</t>
  </si>
  <si>
    <t>Num Vulnerable</t>
  </si>
  <si>
    <t>AVG HP</t>
  </si>
  <si>
    <t>Hit Dice</t>
  </si>
  <si>
    <t>HP Mod</t>
  </si>
  <si>
    <t>Magical Bludgeoning</t>
  </si>
  <si>
    <t>Magical Slashing</t>
  </si>
  <si>
    <t>Magical Piercing</t>
  </si>
  <si>
    <t>Status</t>
  </si>
  <si>
    <t>Weight</t>
  </si>
  <si>
    <t>Resistant Value</t>
  </si>
  <si>
    <t>Immune Value</t>
  </si>
  <si>
    <t>Vulnerable Value</t>
  </si>
  <si>
    <t>Values</t>
  </si>
  <si>
    <t>Resistant</t>
  </si>
  <si>
    <t>Immune</t>
  </si>
  <si>
    <t>Vulnerable</t>
  </si>
  <si>
    <t>Keys</t>
  </si>
  <si>
    <t>Halve HP?</t>
  </si>
  <si>
    <t>Condition Immunities</t>
  </si>
  <si>
    <t>Damage Immunities</t>
  </si>
  <si>
    <t>Damage Resistances</t>
  </si>
  <si>
    <t>Damage Vulnerabilities</t>
  </si>
  <si>
    <t>Languages</t>
  </si>
  <si>
    <t>XP</t>
  </si>
  <si>
    <t>Darkvision</t>
  </si>
  <si>
    <t>Blindsight</t>
  </si>
  <si>
    <t>Tremorsense</t>
  </si>
  <si>
    <t>Truesight</t>
  </si>
  <si>
    <t>Senses</t>
  </si>
  <si>
    <t>Melee</t>
  </si>
  <si>
    <t>Num Abilities:</t>
  </si>
  <si>
    <t>Ability Names</t>
  </si>
  <si>
    <t>Legendary Ability Names</t>
  </si>
  <si>
    <t>Mythic Ability Names</t>
  </si>
  <si>
    <t>Num Lair Actions:</t>
  </si>
  <si>
    <t>Has Lair?</t>
  </si>
  <si>
    <t>Saves</t>
  </si>
  <si>
    <t>Save</t>
  </si>
  <si>
    <t>Expert</t>
  </si>
  <si>
    <t>Proficient</t>
  </si>
  <si>
    <t>Proficiency Bonus</t>
  </si>
  <si>
    <t>Stat Bonus</t>
  </si>
  <si>
    <t>Persuation</t>
  </si>
  <si>
    <t>Performance</t>
  </si>
  <si>
    <t>Intimidation</t>
  </si>
  <si>
    <t>Deception</t>
  </si>
  <si>
    <t>Survival</t>
  </si>
  <si>
    <t>Perception</t>
  </si>
  <si>
    <t>Medicine</t>
  </si>
  <si>
    <t>Insight</t>
  </si>
  <si>
    <t>Animal Handling</t>
  </si>
  <si>
    <t>Religion</t>
  </si>
  <si>
    <t>Nature</t>
  </si>
  <si>
    <t>Investigation</t>
  </si>
  <si>
    <t>History</t>
  </si>
  <si>
    <t>Arcana</t>
  </si>
  <si>
    <t>Stealth</t>
  </si>
  <si>
    <t>Slight of Hand</t>
  </si>
  <si>
    <t>Acrobatics</t>
  </si>
  <si>
    <t>Athletics</t>
  </si>
  <si>
    <t>Stat</t>
  </si>
  <si>
    <t>Skills</t>
  </si>
  <si>
    <t>No</t>
  </si>
  <si>
    <t>Proficiency</t>
  </si>
  <si>
    <t>Expertise</t>
  </si>
  <si>
    <t>Proficient Save</t>
  </si>
  <si>
    <t>Expertise Save</t>
  </si>
  <si>
    <t>Skill</t>
  </si>
  <si>
    <t>Bonus</t>
  </si>
  <si>
    <t>Walk</t>
  </si>
  <si>
    <t>Fly</t>
  </si>
  <si>
    <t>Burrow</t>
  </si>
  <si>
    <t>Climb</t>
  </si>
  <si>
    <t>Swim</t>
  </si>
  <si>
    <t>Speed</t>
  </si>
  <si>
    <t>Speeds</t>
  </si>
  <si>
    <t>Attacks</t>
  </si>
  <si>
    <t>Name</t>
  </si>
  <si>
    <t>Damage Code</t>
  </si>
  <si>
    <t>Attack 1</t>
  </si>
  <si>
    <t>Attack 2</t>
  </si>
  <si>
    <t>Attack 3</t>
  </si>
  <si>
    <t>Attack 4</t>
  </si>
  <si>
    <t>Attack 5</t>
  </si>
  <si>
    <t>Attack 6</t>
  </si>
  <si>
    <t>Attack 7</t>
  </si>
  <si>
    <t>Average Damage</t>
  </si>
  <si>
    <t>Size Die</t>
  </si>
  <si>
    <t>Damage Bonus</t>
  </si>
  <si>
    <t>Damage Type</t>
  </si>
  <si>
    <t>Attack Damage Codes</t>
  </si>
  <si>
    <t>Attack Type</t>
  </si>
  <si>
    <t>Reach/Range</t>
  </si>
  <si>
    <t>Attack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</si>
</sst>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242527"/>
      <name val="Arial"/>
      <family val="2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rgb="FFFAF8F7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EDEAE8"/>
      </left>
      <right style="medium">
        <color rgb="FFEDEAE8"/>
      </right>
      <top style="medium">
        <color rgb="FFEDEAE8"/>
      </top>
      <bottom style="medium">
        <color rgb="FFEDEAE8"/>
      </bottom>
      <diagonal/>
    </border>
    <border>
      <left style="medium">
        <color rgb="FFEDEAE8"/>
      </left>
      <right style="medium">
        <color rgb="FFEDEAE8"/>
      </right>
      <top/>
      <bottom style="medium">
        <color rgb="FFEDEAE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EDEAE8"/>
      </left>
      <right style="medium">
        <color rgb="FFEDEAE8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02">
    <xf numFmtId="0" fontId="0" fillId="0" borderId="0" xfId="0"/>
    <xf numFmtId="0" fontId="5" fillId="4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12" fontId="6" fillId="5" borderId="2" xfId="0" applyNumberFormat="1" applyFont="1" applyFill="1" applyBorder="1" applyAlignment="1">
      <alignment horizontal="center" vertical="center" wrapText="1"/>
    </xf>
    <xf numFmtId="12" fontId="6" fillId="4" borderId="2" xfId="0" applyNumberFormat="1" applyFont="1" applyFill="1" applyBorder="1" applyAlignment="1">
      <alignment horizontal="center" vertical="center" wrapText="1"/>
    </xf>
    <xf numFmtId="12" fontId="0" fillId="0" borderId="0" xfId="0" applyNumberFormat="1"/>
    <xf numFmtId="12" fontId="5" fillId="4" borderId="3" xfId="0" applyNumberFormat="1" applyFont="1" applyFill="1" applyBorder="1" applyAlignment="1">
      <alignment horizontal="center" vertical="center" wrapText="1"/>
    </xf>
    <xf numFmtId="49" fontId="5" fillId="4" borderId="3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4" borderId="2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2" fontId="5" fillId="4" borderId="3" xfId="0" applyNumberFormat="1" applyFont="1" applyFill="1" applyBorder="1" applyAlignment="1">
      <alignment horizontal="center" vertical="center" wrapText="1"/>
    </xf>
    <xf numFmtId="2" fontId="6" fillId="5" borderId="2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4" fillId="0" borderId="0" xfId="0" applyFont="1"/>
    <xf numFmtId="0" fontId="3" fillId="3" borderId="1" xfId="2"/>
    <xf numFmtId="0" fontId="0" fillId="0" borderId="0" xfId="0" applyAlignment="1">
      <alignment horizontal="left"/>
    </xf>
    <xf numFmtId="0" fontId="3" fillId="3" borderId="1" xfId="2" applyAlignment="1">
      <alignment horizontal="left"/>
    </xf>
    <xf numFmtId="12" fontId="3" fillId="3" borderId="1" xfId="2" applyNumberFormat="1" applyAlignment="1">
      <alignment horizontal="left"/>
    </xf>
    <xf numFmtId="0" fontId="2" fillId="2" borderId="1" xfId="1"/>
    <xf numFmtId="12" fontId="2" fillId="2" borderId="1" xfId="1" applyNumberFormat="1" applyAlignment="1">
      <alignment horizontal="left"/>
    </xf>
    <xf numFmtId="0" fontId="0" fillId="0" borderId="0" xfId="0" applyBorder="1"/>
    <xf numFmtId="0" fontId="4" fillId="0" borderId="0" xfId="0" applyFont="1" applyBorder="1"/>
    <xf numFmtId="12" fontId="4" fillId="0" borderId="0" xfId="0" applyNumberFormat="1" applyFont="1"/>
    <xf numFmtId="49" fontId="0" fillId="0" borderId="0" xfId="0" applyNumberFormat="1" applyBorder="1" applyAlignment="1"/>
    <xf numFmtId="49" fontId="0" fillId="0" borderId="0" xfId="0" applyNumberFormat="1" applyAlignment="1"/>
    <xf numFmtId="0" fontId="4" fillId="0" borderId="0" xfId="0" applyFont="1" applyAlignment="1"/>
    <xf numFmtId="0" fontId="4" fillId="0" borderId="0" xfId="0" applyFont="1" applyFill="1" applyBorder="1"/>
    <xf numFmtId="0" fontId="3" fillId="3" borderId="1" xfId="2" applyAlignment="1"/>
    <xf numFmtId="0" fontId="0" fillId="0" borderId="0" xfId="0"/>
    <xf numFmtId="49" fontId="4" fillId="0" borderId="0" xfId="0" applyNumberFormat="1" applyFont="1" applyAlignment="1"/>
    <xf numFmtId="0" fontId="0" fillId="0" borderId="0" xfId="0" applyNumberFormat="1" applyAlignment="1"/>
    <xf numFmtId="0" fontId="4" fillId="0" borderId="4" xfId="0" applyFont="1" applyBorder="1"/>
    <xf numFmtId="0" fontId="0" fillId="0" borderId="5" xfId="0" applyBorder="1" applyAlignment="1"/>
    <xf numFmtId="0" fontId="4" fillId="0" borderId="5" xfId="0" applyFont="1" applyBorder="1"/>
    <xf numFmtId="0" fontId="0" fillId="0" borderId="6" xfId="0" applyBorder="1"/>
    <xf numFmtId="0" fontId="3" fillId="3" borderId="7" xfId="2" applyBorder="1"/>
    <xf numFmtId="0" fontId="3" fillId="3" borderId="1" xfId="2" applyBorder="1"/>
    <xf numFmtId="0" fontId="2" fillId="2" borderId="1" xfId="1" applyBorder="1"/>
    <xf numFmtId="0" fontId="0" fillId="0" borderId="8" xfId="0" applyBorder="1"/>
    <xf numFmtId="0" fontId="0" fillId="0" borderId="10" xfId="0" applyBorder="1"/>
    <xf numFmtId="0" fontId="2" fillId="2" borderId="11" xfId="1" applyBorder="1"/>
    <xf numFmtId="0" fontId="0" fillId="0" borderId="12" xfId="0" applyBorder="1"/>
    <xf numFmtId="0" fontId="0" fillId="0" borderId="5" xfId="0" applyBorder="1"/>
    <xf numFmtId="0" fontId="4" fillId="0" borderId="9" xfId="0" applyFont="1" applyBorder="1"/>
    <xf numFmtId="0" fontId="0" fillId="0" borderId="0" xfId="0"/>
    <xf numFmtId="0" fontId="0" fillId="0" borderId="0" xfId="0"/>
    <xf numFmtId="1" fontId="0" fillId="0" borderId="0" xfId="0" applyNumberFormat="1"/>
    <xf numFmtId="2" fontId="4" fillId="0" borderId="0" xfId="0" applyNumberFormat="1" applyFont="1"/>
    <xf numFmtId="0" fontId="5" fillId="4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" fontId="3" fillId="3" borderId="1" xfId="2" applyNumberFormat="1" applyAlignment="1">
      <alignment horizontal="right"/>
    </xf>
    <xf numFmtId="0" fontId="0" fillId="0" borderId="0" xfId="0"/>
    <xf numFmtId="49" fontId="4" fillId="0" borderId="0" xfId="0" applyNumberFormat="1" applyFont="1"/>
    <xf numFmtId="49" fontId="0" fillId="0" borderId="0" xfId="0" applyNumberFormat="1" applyFont="1"/>
    <xf numFmtId="0" fontId="3" fillId="3" borderId="1" xfId="2" applyNumberFormat="1" applyAlignment="1">
      <alignment horizontal="right" vertical="center"/>
    </xf>
    <xf numFmtId="12" fontId="0" fillId="0" borderId="0" xfId="0" applyNumberFormat="1" applyFont="1"/>
    <xf numFmtId="0" fontId="3" fillId="3" borderId="1" xfId="2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12" fontId="0" fillId="0" borderId="0" xfId="0" applyNumberFormat="1" applyAlignment="1"/>
    <xf numFmtId="49" fontId="4" fillId="0" borderId="0" xfId="0" applyNumberFormat="1" applyFont="1" applyAlignment="1">
      <alignment horizontal="center" wrapText="1"/>
    </xf>
    <xf numFmtId="12" fontId="0" fillId="0" borderId="0" xfId="0" applyNumberFormat="1" applyAlignment="1">
      <alignment horizontal="center" vertical="center" wrapText="1"/>
    </xf>
    <xf numFmtId="0" fontId="4" fillId="0" borderId="10" xfId="0" applyFont="1" applyBorder="1" applyAlignment="1">
      <alignment horizontal="right"/>
    </xf>
    <xf numFmtId="0" fontId="8" fillId="0" borderId="18" xfId="0" applyFont="1" applyBorder="1"/>
    <xf numFmtId="0" fontId="8" fillId="0" borderId="0" xfId="0" applyFont="1" applyAlignment="1">
      <alignment horizontal="right"/>
    </xf>
    <xf numFmtId="0" fontId="2" fillId="2" borderId="1" xfId="1"/>
    <xf numFmtId="0" fontId="4" fillId="0" borderId="0" xfId="0" applyFont="1"/>
    <xf numFmtId="0" fontId="3" fillId="3" borderId="1" xfId="2"/>
    <xf numFmtId="12" fontId="0" fillId="0" borderId="0" xfId="0" applyNumberFormat="1"/>
    <xf numFmtId="0" fontId="4" fillId="0" borderId="0" xfId="0" applyFont="1" applyAlignment="1">
      <alignment horizontal="center"/>
    </xf>
    <xf numFmtId="12" fontId="2" fillId="2" borderId="1" xfId="1" applyNumberFormat="1"/>
    <xf numFmtId="0" fontId="4" fillId="0" borderId="0" xfId="0" applyFont="1" applyAlignment="1">
      <alignment horizontal="right"/>
    </xf>
    <xf numFmtId="0" fontId="3" fillId="3" borderId="1" xfId="2"/>
    <xf numFmtId="0" fontId="2" fillId="2" borderId="1" xfId="1"/>
    <xf numFmtId="0" fontId="3" fillId="3" borderId="19" xfId="2" applyBorder="1"/>
    <xf numFmtId="0" fontId="3" fillId="3" borderId="0" xfId="2" applyBorder="1"/>
    <xf numFmtId="0" fontId="2" fillId="2" borderId="14" xfId="1" applyBorder="1"/>
    <xf numFmtId="0" fontId="2" fillId="2" borderId="15" xfId="1" applyBorder="1"/>
    <xf numFmtId="0" fontId="2" fillId="2" borderId="16" xfId="1" applyBorder="1"/>
    <xf numFmtId="49" fontId="4" fillId="0" borderId="0" xfId="0" applyNumberFormat="1" applyFont="1" applyAlignment="1">
      <alignment horizontal="center" wrapText="1"/>
    </xf>
    <xf numFmtId="0" fontId="3" fillId="3" borderId="1" xfId="2"/>
    <xf numFmtId="0" fontId="4" fillId="0" borderId="0" xfId="0" applyFont="1"/>
    <xf numFmtId="0" fontId="8" fillId="0" borderId="0" xfId="0" applyFont="1" applyAlignment="1">
      <alignment horizontal="right"/>
    </xf>
    <xf numFmtId="0" fontId="4" fillId="0" borderId="18" xfId="0" applyFont="1" applyBorder="1"/>
    <xf numFmtId="0" fontId="2" fillId="2" borderId="1" xfId="1"/>
    <xf numFmtId="12" fontId="0" fillId="0" borderId="0" xfId="0" applyNumberFormat="1"/>
    <xf numFmtId="12" fontId="0" fillId="0" borderId="17" xfId="0" applyNumberFormat="1" applyBorder="1"/>
    <xf numFmtId="49" fontId="4" fillId="0" borderId="18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0" fontId="0" fillId="0" borderId="17" xfId="0" applyBorder="1" applyAlignment="1"/>
    <xf numFmtId="12" fontId="0" fillId="0" borderId="0" xfId="0" applyNumberFormat="1" applyAlignment="1"/>
    <xf numFmtId="12" fontId="0" fillId="0" borderId="17" xfId="0" applyNumberFormat="1" applyBorder="1" applyAlignment="1"/>
    <xf numFmtId="0" fontId="3" fillId="3" borderId="1" xfId="2" applyAlignment="1">
      <alignment horizontal="center"/>
    </xf>
    <xf numFmtId="0" fontId="2" fillId="2" borderId="14" xfId="1" applyBorder="1" applyAlignment="1">
      <alignment horizontal="left"/>
    </xf>
    <xf numFmtId="0" fontId="2" fillId="2" borderId="15" xfId="1" applyBorder="1" applyAlignment="1">
      <alignment horizontal="left"/>
    </xf>
    <xf numFmtId="0" fontId="2" fillId="2" borderId="16" xfId="1" applyBorder="1" applyAlignment="1">
      <alignment horizontal="left"/>
    </xf>
    <xf numFmtId="0" fontId="0" fillId="0" borderId="5" xfId="0" applyBorder="1" applyAlignment="1">
      <alignment horizontal="center"/>
    </xf>
    <xf numFmtId="0" fontId="7" fillId="0" borderId="0" xfId="0" applyFont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F4B5-7DF7-4E41-AE56-0D688B32C732}">
  <dimension ref="A1:AF115"/>
  <sheetViews>
    <sheetView tabSelected="1" topLeftCell="A25" workbookViewId="0">
      <selection activeCell="W13" sqref="W13"/>
    </sheetView>
  </sheetViews>
  <sheetFormatPr defaultRowHeight="15" x14ac:dyDescent="0.25"/>
  <cols>
    <col min="1" max="1" width="13.5703125" customWidth="1"/>
    <col min="6" max="6" width="12.140625" bestFit="1" customWidth="1"/>
    <col min="11" max="11" width="17.42578125" bestFit="1" customWidth="1"/>
    <col min="13" max="13" width="13.7109375" customWidth="1"/>
    <col min="14" max="14" width="12.7109375" customWidth="1"/>
    <col min="15" max="15" width="15.42578125" bestFit="1" customWidth="1"/>
    <col min="16" max="16" width="10.85546875" bestFit="1" customWidth="1"/>
    <col min="17" max="17" width="11.42578125" bestFit="1" customWidth="1"/>
    <col min="18" max="18" width="11.42578125" customWidth="1"/>
    <col min="19" max="19" width="11.28515625" bestFit="1" customWidth="1"/>
    <col min="20" max="21" width="12.5703125" bestFit="1" customWidth="1"/>
    <col min="23" max="23" width="11.140625" style="6" bestFit="1" customWidth="1"/>
    <col min="26" max="26" width="10.7109375" customWidth="1"/>
    <col min="27" max="27" width="12.85546875" style="14" customWidth="1"/>
    <col min="28" max="28" width="9.140625" style="11"/>
    <col min="30" max="30" width="11.28515625" customWidth="1"/>
    <col min="31" max="31" width="10.7109375" customWidth="1"/>
    <col min="32" max="32" width="9.140625" style="11"/>
  </cols>
  <sheetData>
    <row r="1" spans="1:24" ht="21" x14ac:dyDescent="0.35">
      <c r="A1" s="15" t="s">
        <v>112</v>
      </c>
      <c r="B1" t="str">
        <f>VLOOKUP(P20, DMG!A2:K35, 8, FALSE)</f>
        <v>9</v>
      </c>
      <c r="E1" s="101" t="s">
        <v>154</v>
      </c>
      <c r="F1" s="101"/>
      <c r="G1" s="101"/>
      <c r="H1" s="101"/>
      <c r="I1" s="101"/>
      <c r="J1" s="101"/>
      <c r="K1" s="101"/>
      <c r="L1" s="59" t="s">
        <v>242</v>
      </c>
      <c r="N1" s="15" t="s">
        <v>114</v>
      </c>
      <c r="O1" s="52">
        <f>VLOOKUP(Q20, DMG!A2:K35, 4, FALSE) - O15</f>
        <v>71</v>
      </c>
      <c r="P1" s="59" t="s">
        <v>220</v>
      </c>
      <c r="Q1" s="91" t="s">
        <v>221</v>
      </c>
      <c r="R1" s="91"/>
      <c r="W1" s="82" t="s">
        <v>284</v>
      </c>
      <c r="X1" s="82" t="s">
        <v>285</v>
      </c>
    </row>
    <row r="2" spans="1:24" x14ac:dyDescent="0.25">
      <c r="A2" s="15" t="s">
        <v>113</v>
      </c>
      <c r="B2" t="str">
        <f>VLOOKUP(P20, DMG!A2:K35, 9, FALSE)</f>
        <v>14</v>
      </c>
      <c r="L2" s="60">
        <f>VLOOKUP(R22, XP!A2:B35, 2, FALSE)</f>
        <v>200</v>
      </c>
      <c r="N2" s="15" t="s">
        <v>115</v>
      </c>
      <c r="O2" s="52">
        <f>VLOOKUP(Q20, DMG!A2:K35, 5, FALSE) - O15</f>
        <v>85</v>
      </c>
      <c r="P2" s="16">
        <f>ROUNDDOWN(R11*O5, 0)+R12</f>
        <v>81</v>
      </c>
      <c r="Q2" s="96" t="str">
        <f>CONCATENATE(R11, O4, IF(R12 &gt; -1, "+", "-"), R12)</f>
        <v>18d8+0</v>
      </c>
      <c r="R2" s="96"/>
      <c r="W2" s="82"/>
      <c r="X2" s="82"/>
    </row>
    <row r="3" spans="1:24" x14ac:dyDescent="0.25">
      <c r="A3" s="15"/>
      <c r="C3" s="15" t="s">
        <v>6</v>
      </c>
      <c r="D3" s="15" t="s">
        <v>7</v>
      </c>
      <c r="E3" s="15" t="s">
        <v>8</v>
      </c>
      <c r="F3" s="15" t="s">
        <v>9</v>
      </c>
      <c r="G3" s="15" t="s">
        <v>10</v>
      </c>
      <c r="H3" s="15" t="s">
        <v>11</v>
      </c>
      <c r="I3" s="15" t="s">
        <v>12</v>
      </c>
      <c r="N3" s="15"/>
      <c r="T3" s="15" t="s">
        <v>116</v>
      </c>
      <c r="U3" s="76">
        <v>10</v>
      </c>
      <c r="V3" s="16">
        <f t="shared" ref="V3:V8" si="0">ROUNDDOWN((U3-10)/2, 0)</f>
        <v>0</v>
      </c>
      <c r="W3" s="73" t="s">
        <v>281</v>
      </c>
      <c r="X3" s="73" t="s">
        <v>281</v>
      </c>
    </row>
    <row r="4" spans="1:24" x14ac:dyDescent="0.25">
      <c r="A4" s="15" t="s">
        <v>0</v>
      </c>
      <c r="B4" s="16">
        <f>SUM(Attacks!A2:G2)</f>
        <v>0</v>
      </c>
      <c r="C4" s="30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N4" s="15" t="s">
        <v>135</v>
      </c>
      <c r="O4" s="58" t="str">
        <f>VLOOKUP(U10, DMG!H37:J42, 3, FALSE)</f>
        <v>d8</v>
      </c>
      <c r="T4" s="15" t="s">
        <v>117</v>
      </c>
      <c r="U4" s="76">
        <v>10</v>
      </c>
      <c r="V4" s="16">
        <f t="shared" si="0"/>
        <v>0</v>
      </c>
      <c r="W4" s="73" t="s">
        <v>281</v>
      </c>
      <c r="X4" s="73" t="s">
        <v>281</v>
      </c>
    </row>
    <row r="5" spans="1:24" x14ac:dyDescent="0.25">
      <c r="A5" s="15" t="s">
        <v>1</v>
      </c>
      <c r="B5" s="16">
        <f>SUM(Attacks!A3:G3)</f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N5" s="15" t="s">
        <v>14</v>
      </c>
      <c r="O5" s="16">
        <f>VLOOKUP(U10, DMG!H37:I42, 2, FALSE)</f>
        <v>4.5</v>
      </c>
      <c r="T5" s="15" t="s">
        <v>15</v>
      </c>
      <c r="U5" s="76">
        <v>10</v>
      </c>
      <c r="V5" s="16">
        <f t="shared" si="0"/>
        <v>0</v>
      </c>
      <c r="W5" s="73" t="s">
        <v>281</v>
      </c>
      <c r="X5" s="73" t="s">
        <v>281</v>
      </c>
    </row>
    <row r="6" spans="1:24" x14ac:dyDescent="0.25">
      <c r="A6" s="15" t="s">
        <v>2</v>
      </c>
      <c r="B6" s="16">
        <f>SUM(Attacks!A4:G4)</f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 s="15" t="s">
        <v>15</v>
      </c>
      <c r="O6" s="16">
        <f>V5</f>
        <v>0</v>
      </c>
      <c r="T6" s="15" t="s">
        <v>118</v>
      </c>
      <c r="U6" s="76">
        <v>10</v>
      </c>
      <c r="V6" s="16">
        <f t="shared" si="0"/>
        <v>0</v>
      </c>
      <c r="W6" s="73" t="s">
        <v>281</v>
      </c>
      <c r="X6" s="73" t="s">
        <v>281</v>
      </c>
    </row>
    <row r="7" spans="1:24" x14ac:dyDescent="0.25">
      <c r="N7" s="15"/>
      <c r="T7" s="15" t="s">
        <v>119</v>
      </c>
      <c r="U7" s="20">
        <v>10</v>
      </c>
      <c r="V7" s="16">
        <f t="shared" si="0"/>
        <v>0</v>
      </c>
      <c r="W7" s="73" t="s">
        <v>281</v>
      </c>
      <c r="X7" s="73" t="s">
        <v>281</v>
      </c>
    </row>
    <row r="8" spans="1:24" x14ac:dyDescent="0.25">
      <c r="A8" s="15" t="s">
        <v>3</v>
      </c>
      <c r="B8" s="15" t="s">
        <v>5</v>
      </c>
      <c r="C8" s="15" t="s">
        <v>4</v>
      </c>
      <c r="N8" s="15" t="s">
        <v>16</v>
      </c>
      <c r="O8" s="16">
        <f>ROUNDUP(O1/(O5+O6), 0)</f>
        <v>16</v>
      </c>
      <c r="Q8" s="15" t="s">
        <v>18</v>
      </c>
      <c r="R8" s="16">
        <f>ROUNDDOWN(O8*(O$6+O$5), 0)</f>
        <v>72</v>
      </c>
      <c r="T8" s="15" t="s">
        <v>120</v>
      </c>
      <c r="U8" s="76">
        <v>10</v>
      </c>
      <c r="V8" s="16">
        <f t="shared" si="0"/>
        <v>0</v>
      </c>
      <c r="W8" s="73" t="s">
        <v>281</v>
      </c>
      <c r="X8" s="73" t="s">
        <v>281</v>
      </c>
    </row>
    <row r="9" spans="1:24" x14ac:dyDescent="0.25">
      <c r="A9">
        <f>B1*3</f>
        <v>27</v>
      </c>
      <c r="B9">
        <f>SUM(B4:B6)</f>
        <v>0</v>
      </c>
      <c r="C9">
        <f>B2*3</f>
        <v>42</v>
      </c>
      <c r="N9" s="15" t="s">
        <v>17</v>
      </c>
      <c r="O9" s="16">
        <f>ROUNDDOWN(O2/(O5+O6), 0)</f>
        <v>18</v>
      </c>
      <c r="Q9" s="15" t="s">
        <v>19</v>
      </c>
      <c r="R9" s="16">
        <f>ROUNDDOWN(O9*(O$6+O$5), 0)</f>
        <v>81</v>
      </c>
    </row>
    <row r="10" spans="1:24" x14ac:dyDescent="0.25">
      <c r="N10" s="15"/>
      <c r="T10" s="15" t="s">
        <v>127</v>
      </c>
      <c r="U10" s="20" t="s">
        <v>123</v>
      </c>
    </row>
    <row r="11" spans="1:24" x14ac:dyDescent="0.25">
      <c r="N11" s="15" t="s">
        <v>20</v>
      </c>
      <c r="O11" s="16">
        <f>O6*O8</f>
        <v>0</v>
      </c>
      <c r="Q11" s="15" t="s">
        <v>221</v>
      </c>
      <c r="R11" s="16">
        <f>IF(J42 = "No", O9, ROUNDDOWN(O9/2, 0))</f>
        <v>18</v>
      </c>
      <c r="T11" s="28" t="s">
        <v>181</v>
      </c>
      <c r="U11" s="20" t="s">
        <v>194</v>
      </c>
    </row>
    <row r="12" spans="1:24" x14ac:dyDescent="0.25">
      <c r="A12" s="33" t="s">
        <v>22</v>
      </c>
      <c r="B12" s="100"/>
      <c r="C12" s="100"/>
      <c r="D12" s="100"/>
      <c r="E12" s="100"/>
      <c r="F12" s="100"/>
      <c r="G12" s="34"/>
      <c r="H12" s="35" t="s">
        <v>155</v>
      </c>
      <c r="I12" s="36"/>
      <c r="K12" s="15" t="s">
        <v>161</v>
      </c>
      <c r="L12" s="51" t="s">
        <v>162</v>
      </c>
      <c r="N12" s="15" t="s">
        <v>21</v>
      </c>
      <c r="O12" s="16">
        <f>O6*O9</f>
        <v>0</v>
      </c>
      <c r="Q12" s="15" t="s">
        <v>222</v>
      </c>
      <c r="R12" s="16">
        <f>R11*O6</f>
        <v>0</v>
      </c>
      <c r="T12" s="28" t="s">
        <v>166</v>
      </c>
      <c r="U12" s="20" t="s">
        <v>167</v>
      </c>
    </row>
    <row r="13" spans="1:24" x14ac:dyDescent="0.25">
      <c r="A13" s="37">
        <f>ROUNDDOWN(B13*VLOOKUP(C13, DMG!A$38:B$43, 2, FALSE) + E13, 0) * B14</f>
        <v>3</v>
      </c>
      <c r="B13" s="38">
        <f>VLOOKUP(U$10, DMG!A$46:B$51, 2, FALSE) + H13</f>
        <v>1</v>
      </c>
      <c r="C13" s="39" t="s">
        <v>26</v>
      </c>
      <c r="D13" s="22" t="s">
        <v>152</v>
      </c>
      <c r="E13" s="38">
        <f>IF(E14&lt;&gt;0,VLOOKUP(E14, T$3:V$8, 3, FALSE),0)</f>
        <v>0</v>
      </c>
      <c r="F13" s="39" t="s">
        <v>140</v>
      </c>
      <c r="G13" s="22"/>
      <c r="H13" s="39">
        <v>0</v>
      </c>
      <c r="I13" s="40"/>
      <c r="K13" s="15" t="s">
        <v>163</v>
      </c>
      <c r="L13">
        <v>0</v>
      </c>
    </row>
    <row r="14" spans="1:24" x14ac:dyDescent="0.25">
      <c r="A14" s="45" t="s">
        <v>157</v>
      </c>
      <c r="B14" s="20">
        <v>1</v>
      </c>
      <c r="C14" s="41"/>
      <c r="D14" s="20" t="s">
        <v>248</v>
      </c>
      <c r="E14" s="42" t="s">
        <v>116</v>
      </c>
      <c r="F14" s="41"/>
      <c r="G14" s="65" t="str">
        <f>IF(D14="Melee","Reach","Range")</f>
        <v>Reach</v>
      </c>
      <c r="H14" s="20"/>
      <c r="I14" s="43"/>
      <c r="K14" s="15" t="s">
        <v>164</v>
      </c>
      <c r="L14" s="47">
        <v>0</v>
      </c>
      <c r="N14" s="28" t="s">
        <v>158</v>
      </c>
      <c r="O14" s="20">
        <v>0</v>
      </c>
    </row>
    <row r="15" spans="1:24" x14ac:dyDescent="0.25">
      <c r="K15" s="15" t="s">
        <v>165</v>
      </c>
      <c r="L15" s="51" t="s">
        <v>162</v>
      </c>
      <c r="N15" s="28" t="s">
        <v>159</v>
      </c>
      <c r="O15" s="56">
        <f>VLOOKUP(R22, DMG!A2:L35, 12, FALSE) * O14</f>
        <v>0</v>
      </c>
    </row>
    <row r="16" spans="1:24" x14ac:dyDescent="0.25">
      <c r="A16" s="33" t="s">
        <v>22</v>
      </c>
      <c r="B16" s="100"/>
      <c r="C16" s="100"/>
      <c r="D16" s="100"/>
      <c r="E16" s="100"/>
      <c r="F16" s="100"/>
      <c r="G16" s="44"/>
      <c r="H16" s="35" t="s">
        <v>155</v>
      </c>
      <c r="I16" s="36"/>
    </row>
    <row r="17" spans="1:21" x14ac:dyDescent="0.25">
      <c r="A17" s="37">
        <f>ROUNDDOWN(B17*VLOOKUP(C17, DMG!A$38:B$43, 2, FALSE) + E17, 0) * B18</f>
        <v>3</v>
      </c>
      <c r="B17" s="38">
        <f>VLOOKUP(U$10, DMG!A$46:B$51, 2, FALSE) + H17</f>
        <v>1</v>
      </c>
      <c r="C17" s="39" t="s">
        <v>26</v>
      </c>
      <c r="D17" s="22" t="s">
        <v>152</v>
      </c>
      <c r="E17" s="38">
        <f>IF(E18&lt;&gt;0,VLOOKUP(E18, T$3:V$8, 3, FALSE),0)</f>
        <v>0</v>
      </c>
      <c r="F17" s="39" t="s">
        <v>140</v>
      </c>
      <c r="G17" s="22"/>
      <c r="H17" s="39">
        <v>0</v>
      </c>
      <c r="I17" s="40"/>
      <c r="K17" s="15" t="s">
        <v>243</v>
      </c>
      <c r="L17" s="20"/>
    </row>
    <row r="18" spans="1:21" x14ac:dyDescent="0.25">
      <c r="A18" s="45" t="s">
        <v>157</v>
      </c>
      <c r="B18" s="20">
        <v>1</v>
      </c>
      <c r="C18" s="41"/>
      <c r="D18" s="20" t="s">
        <v>248</v>
      </c>
      <c r="E18" s="42" t="s">
        <v>116</v>
      </c>
      <c r="F18" s="41"/>
      <c r="G18" s="65" t="str">
        <f>IF(D18="Melee","Reach","Range")</f>
        <v>Reach</v>
      </c>
      <c r="H18" s="20"/>
      <c r="I18" s="43"/>
      <c r="K18" s="15" t="s">
        <v>244</v>
      </c>
      <c r="L18" s="20"/>
    </row>
    <row r="19" spans="1:21" x14ac:dyDescent="0.25">
      <c r="K19" s="15" t="s">
        <v>245</v>
      </c>
      <c r="L19" s="20"/>
      <c r="P19" s="15" t="s">
        <v>110</v>
      </c>
      <c r="Q19" s="15" t="s">
        <v>111</v>
      </c>
      <c r="R19" s="15" t="s">
        <v>30</v>
      </c>
    </row>
    <row r="20" spans="1:21" x14ac:dyDescent="0.25">
      <c r="A20" s="33" t="s">
        <v>22</v>
      </c>
      <c r="B20" s="100"/>
      <c r="C20" s="100"/>
      <c r="D20" s="100"/>
      <c r="E20" s="100"/>
      <c r="F20" s="100"/>
      <c r="G20" s="44"/>
      <c r="H20" s="35" t="s">
        <v>155</v>
      </c>
      <c r="I20" s="36"/>
      <c r="K20" s="15" t="s">
        <v>246</v>
      </c>
      <c r="L20" s="20"/>
      <c r="P20" s="21">
        <v>1</v>
      </c>
      <c r="Q20" s="21">
        <v>1</v>
      </c>
      <c r="R20" s="17"/>
    </row>
    <row r="21" spans="1:21" x14ac:dyDescent="0.25">
      <c r="A21" s="37">
        <f>ROUNDDOWN(B21*VLOOKUP(C21, DMG!A$38:B$43, 2, FALSE) + E21, 0) * B22</f>
        <v>3</v>
      </c>
      <c r="B21" s="38">
        <f>VLOOKUP(U$10, DMG!A$46:B$51, 2, FALSE) + H21</f>
        <v>1</v>
      </c>
      <c r="C21" s="39" t="s">
        <v>26</v>
      </c>
      <c r="D21" s="22" t="s">
        <v>152</v>
      </c>
      <c r="E21" s="38">
        <f>IF(E22&lt;&gt;0,VLOOKUP(E22, T$3:V$8, 3, FALSE),0)</f>
        <v>0</v>
      </c>
      <c r="F21" s="39" t="s">
        <v>140</v>
      </c>
      <c r="G21" s="22"/>
      <c r="H21" s="39">
        <v>0</v>
      </c>
      <c r="I21" s="40"/>
      <c r="P21" s="18">
        <f>IF(O27="Attack Bonus", P30, Q30)</f>
        <v>0</v>
      </c>
      <c r="Q21" s="18">
        <f>R30</f>
        <v>0</v>
      </c>
      <c r="R21" s="18"/>
    </row>
    <row r="22" spans="1:21" x14ac:dyDescent="0.25">
      <c r="A22" s="45" t="s">
        <v>157</v>
      </c>
      <c r="B22" s="20">
        <v>1</v>
      </c>
      <c r="C22" s="41"/>
      <c r="D22" s="20" t="s">
        <v>248</v>
      </c>
      <c r="E22" s="42" t="s">
        <v>116</v>
      </c>
      <c r="F22" s="41"/>
      <c r="G22" s="65" t="str">
        <f>IF(D22="Melee","Reach","Range")</f>
        <v>Reach</v>
      </c>
      <c r="H22" s="20"/>
      <c r="I22" s="43"/>
      <c r="K22" s="28" t="s">
        <v>288</v>
      </c>
      <c r="L22" s="68">
        <v>30</v>
      </c>
      <c r="O22" s="15" t="s">
        <v>134</v>
      </c>
      <c r="P22" s="19">
        <f>INT(SUM(P20:P21))</f>
        <v>1</v>
      </c>
      <c r="Q22" s="19">
        <f>INT(SUM(Q20:Q21))</f>
        <v>1</v>
      </c>
      <c r="R22" s="19">
        <f>INT(AVERAGE(P22:Q22))</f>
        <v>1</v>
      </c>
      <c r="S22" s="53"/>
    </row>
    <row r="23" spans="1:21" x14ac:dyDescent="0.25">
      <c r="A23" s="23"/>
      <c r="B23" s="25"/>
      <c r="C23" s="25"/>
      <c r="D23" s="25"/>
      <c r="E23" s="25"/>
      <c r="F23" s="25"/>
      <c r="K23" s="28" t="s">
        <v>289</v>
      </c>
      <c r="L23" s="68"/>
      <c r="O23" s="53"/>
      <c r="P23" s="53"/>
      <c r="Q23" s="53"/>
      <c r="R23" s="53"/>
      <c r="S23" s="53"/>
    </row>
    <row r="24" spans="1:21" x14ac:dyDescent="0.25">
      <c r="A24" s="33" t="s">
        <v>22</v>
      </c>
      <c r="B24" s="100"/>
      <c r="C24" s="100"/>
      <c r="D24" s="100"/>
      <c r="E24" s="100"/>
      <c r="F24" s="100"/>
      <c r="G24" s="44"/>
      <c r="H24" s="35" t="s">
        <v>155</v>
      </c>
      <c r="I24" s="36"/>
      <c r="K24" s="28" t="s">
        <v>290</v>
      </c>
      <c r="L24" s="68"/>
      <c r="O24" s="53"/>
      <c r="P24" s="53"/>
      <c r="Q24" s="53"/>
      <c r="R24" s="53"/>
      <c r="S24" s="53"/>
    </row>
    <row r="25" spans="1:21" x14ac:dyDescent="0.25">
      <c r="A25" s="37">
        <f>ROUNDDOWN(B25*VLOOKUP(C25, DMG!A$38:B$43, 2, FALSE) + E25, 0) * B26</f>
        <v>3</v>
      </c>
      <c r="B25" s="38">
        <f>VLOOKUP(U$10, DMG!A$46:B$51, 2, FALSE) + H25</f>
        <v>1</v>
      </c>
      <c r="C25" s="39" t="s">
        <v>26</v>
      </c>
      <c r="D25" s="22" t="s">
        <v>152</v>
      </c>
      <c r="E25" s="38">
        <f>IF(E26&lt;&gt;0,VLOOKUP(E26, T$3:V$8, 3, FALSE),0)</f>
        <v>0</v>
      </c>
      <c r="F25" s="39" t="s">
        <v>140</v>
      </c>
      <c r="G25" s="22"/>
      <c r="H25" s="39">
        <v>0</v>
      </c>
      <c r="I25" s="40"/>
      <c r="K25" s="28" t="s">
        <v>291</v>
      </c>
      <c r="L25" s="68"/>
      <c r="O25" s="53"/>
      <c r="P25" s="53"/>
      <c r="Q25" s="53"/>
      <c r="R25" s="53"/>
      <c r="S25" s="53"/>
      <c r="T25" s="53"/>
      <c r="U25" s="53"/>
    </row>
    <row r="26" spans="1:21" x14ac:dyDescent="0.25">
      <c r="A26" s="45" t="s">
        <v>157</v>
      </c>
      <c r="B26" s="20">
        <v>1</v>
      </c>
      <c r="C26" s="41"/>
      <c r="D26" s="20" t="s">
        <v>248</v>
      </c>
      <c r="E26" s="42" t="s">
        <v>116</v>
      </c>
      <c r="F26" s="41"/>
      <c r="G26" s="65" t="str">
        <f>IF(D26="Melee","Reach","Range")</f>
        <v>Reach</v>
      </c>
      <c r="H26" s="20"/>
      <c r="I26" s="43"/>
      <c r="K26" s="28" t="s">
        <v>292</v>
      </c>
      <c r="L26" s="68"/>
      <c r="O26" s="15" t="s">
        <v>128</v>
      </c>
      <c r="P26" s="15" t="s">
        <v>129</v>
      </c>
      <c r="Q26" s="15" t="s">
        <v>130</v>
      </c>
      <c r="R26" s="15" t="s">
        <v>102</v>
      </c>
      <c r="S26" s="53"/>
      <c r="T26" s="72" t="s">
        <v>101</v>
      </c>
      <c r="U26" s="53"/>
    </row>
    <row r="27" spans="1:21" x14ac:dyDescent="0.25">
      <c r="A27" s="23"/>
      <c r="B27" s="22"/>
      <c r="C27" s="22"/>
      <c r="D27" s="22"/>
      <c r="E27" s="22"/>
      <c r="F27" s="22"/>
      <c r="O27" s="20" t="s">
        <v>31</v>
      </c>
      <c r="P27" s="16">
        <f>VLOOKUP(Q20, DMG!A2:K35, 7, FALSE)</f>
        <v>3</v>
      </c>
      <c r="Q27" s="16">
        <f>VLOOKUP(Q20, DMG!A2:K35, 11, FALSE)</f>
        <v>13</v>
      </c>
      <c r="R27" s="16">
        <f>VLOOKUP(Q20, DMG!A2:K35, 3, FALSE)</f>
        <v>13</v>
      </c>
      <c r="S27" s="53"/>
      <c r="T27" s="70">
        <f>VLOOKUP(P22,DMG!A2:B35, 2, FALSE)</f>
        <v>2</v>
      </c>
      <c r="U27" s="53"/>
    </row>
    <row r="28" spans="1:21" x14ac:dyDescent="0.25">
      <c r="A28" s="33" t="s">
        <v>22</v>
      </c>
      <c r="B28" s="100"/>
      <c r="C28" s="100"/>
      <c r="D28" s="100"/>
      <c r="E28" s="100"/>
      <c r="F28" s="100"/>
      <c r="G28" s="44"/>
      <c r="H28" s="35" t="s">
        <v>155</v>
      </c>
      <c r="I28" s="36"/>
      <c r="O28" s="15" t="s">
        <v>131</v>
      </c>
      <c r="P28" s="20">
        <v>0</v>
      </c>
      <c r="Q28" s="20">
        <v>0</v>
      </c>
      <c r="R28" s="20">
        <v>0</v>
      </c>
      <c r="S28" s="53"/>
      <c r="T28" s="53"/>
      <c r="U28" s="53"/>
    </row>
    <row r="29" spans="1:21" x14ac:dyDescent="0.25">
      <c r="A29" s="37">
        <f>ROUNDDOWN(B29*VLOOKUP(C29, DMG!A$38:B$43, 2, FALSE) + E29, 0) * B30</f>
        <v>3</v>
      </c>
      <c r="B29" s="38">
        <f>VLOOKUP(U$10, DMG!A$46:B$51, 2, FALSE) + H29</f>
        <v>1</v>
      </c>
      <c r="C29" s="39" t="s">
        <v>26</v>
      </c>
      <c r="D29" s="22" t="s">
        <v>152</v>
      </c>
      <c r="E29" s="38">
        <f>IF(E30&lt;&gt;0,VLOOKUP(E30, T$3:V$8, 3, FALSE),0)</f>
        <v>0</v>
      </c>
      <c r="F29" s="39" t="s">
        <v>140</v>
      </c>
      <c r="G29" s="22"/>
      <c r="H29" s="39">
        <v>0</v>
      </c>
      <c r="I29" s="40"/>
      <c r="O29" s="15" t="s">
        <v>132</v>
      </c>
      <c r="P29" s="16">
        <f>SUM(P27:P28)</f>
        <v>3</v>
      </c>
      <c r="Q29" s="16">
        <f>SUM(Q27:Q28)</f>
        <v>13</v>
      </c>
      <c r="R29" s="16">
        <f>SUM(R27:R28)</f>
        <v>13</v>
      </c>
      <c r="S29" s="53"/>
      <c r="T29" s="53"/>
      <c r="U29" s="53"/>
    </row>
    <row r="30" spans="1:21" x14ac:dyDescent="0.25">
      <c r="A30" s="45" t="s">
        <v>157</v>
      </c>
      <c r="B30" s="20">
        <v>1</v>
      </c>
      <c r="C30" s="41"/>
      <c r="D30" s="20" t="s">
        <v>248</v>
      </c>
      <c r="E30" s="42" t="s">
        <v>116</v>
      </c>
      <c r="F30" s="41"/>
      <c r="G30" s="65" t="str">
        <f>IF(D30="Melee","Reach","Range")</f>
        <v>Reach</v>
      </c>
      <c r="H30" s="20"/>
      <c r="I30" s="43"/>
      <c r="O30" s="15" t="s">
        <v>133</v>
      </c>
      <c r="P30" s="16">
        <f>ROUNDUP(P28/2, 1)</f>
        <v>0</v>
      </c>
      <c r="Q30" s="16">
        <f>ROUNDUP(Q28/2, 1)</f>
        <v>0</v>
      </c>
      <c r="R30" s="16">
        <f>ROUNDUP(R28/2, 1)</f>
        <v>0</v>
      </c>
      <c r="S30" s="53"/>
      <c r="T30" s="53"/>
      <c r="U30" s="53"/>
    </row>
    <row r="31" spans="1:21" x14ac:dyDescent="0.25">
      <c r="A31" s="23"/>
      <c r="B31" s="22"/>
      <c r="C31" s="22"/>
      <c r="D31" s="22"/>
      <c r="E31" s="22"/>
      <c r="F31" s="22"/>
      <c r="O31" s="53"/>
      <c r="P31" s="53"/>
      <c r="Q31" s="53"/>
      <c r="R31" s="53"/>
      <c r="S31" s="53"/>
      <c r="T31" s="53"/>
      <c r="U31" s="53"/>
    </row>
    <row r="32" spans="1:21" x14ac:dyDescent="0.25">
      <c r="A32" s="33" t="s">
        <v>22</v>
      </c>
      <c r="B32" s="100"/>
      <c r="C32" s="100"/>
      <c r="D32" s="100"/>
      <c r="E32" s="100"/>
      <c r="F32" s="100"/>
      <c r="G32" s="44"/>
      <c r="H32" s="35" t="s">
        <v>155</v>
      </c>
      <c r="I32" s="36"/>
      <c r="O32" s="15" t="s">
        <v>198</v>
      </c>
      <c r="P32" s="53"/>
      <c r="Q32" s="53"/>
      <c r="R32" s="53"/>
      <c r="S32" s="53"/>
      <c r="T32" s="53"/>
      <c r="U32" s="53"/>
    </row>
    <row r="33" spans="1:26" x14ac:dyDescent="0.25">
      <c r="A33" s="37">
        <f>ROUNDDOWN(B33*VLOOKUP(C33, DMG!A$38:B$43, 2, FALSE) + E33, 0) * B34</f>
        <v>3</v>
      </c>
      <c r="B33" s="38">
        <f>VLOOKUP(U$10, DMG!A$46:B$51, 2, FALSE) + H33</f>
        <v>1</v>
      </c>
      <c r="C33" s="39" t="s">
        <v>26</v>
      </c>
      <c r="D33" s="22" t="s">
        <v>152</v>
      </c>
      <c r="E33" s="38">
        <f>IF(E34&lt;&gt;0,VLOOKUP(E34, T$3:V$8, 3, FALSE),0)</f>
        <v>0</v>
      </c>
      <c r="F33" s="39" t="s">
        <v>140</v>
      </c>
      <c r="G33" s="22"/>
      <c r="H33" s="39">
        <v>0</v>
      </c>
      <c r="I33" s="40"/>
      <c r="O33" s="97" t="s">
        <v>199</v>
      </c>
      <c r="P33" s="98"/>
      <c r="Q33" s="98"/>
      <c r="R33" s="99"/>
    </row>
    <row r="34" spans="1:26" x14ac:dyDescent="0.25">
      <c r="A34" s="45" t="s">
        <v>157</v>
      </c>
      <c r="B34" s="20">
        <v>1</v>
      </c>
      <c r="C34" s="41"/>
      <c r="D34" s="20" t="s">
        <v>248</v>
      </c>
      <c r="E34" s="42" t="s">
        <v>116</v>
      </c>
      <c r="F34" s="41"/>
      <c r="G34" s="65" t="str">
        <f>IF(D34="Melee","Reach","Range")</f>
        <v>Reach</v>
      </c>
      <c r="H34" s="20"/>
      <c r="I34" s="43"/>
      <c r="Q34" s="53"/>
    </row>
    <row r="35" spans="1:26" x14ac:dyDescent="0.25">
      <c r="A35" s="23"/>
      <c r="O35" s="69" t="s">
        <v>280</v>
      </c>
      <c r="P35" s="53" t="s">
        <v>282</v>
      </c>
      <c r="Q35" s="53" t="s">
        <v>283</v>
      </c>
      <c r="R35" s="53"/>
      <c r="S35" s="69" t="s">
        <v>312</v>
      </c>
      <c r="T35" s="69" t="s">
        <v>310</v>
      </c>
      <c r="U35" s="69" t="s">
        <v>31</v>
      </c>
      <c r="V35" s="69" t="s">
        <v>311</v>
      </c>
      <c r="W35" s="53"/>
      <c r="X35" s="69" t="s">
        <v>309</v>
      </c>
      <c r="Y35" s="53"/>
      <c r="Z35" s="53"/>
    </row>
    <row r="36" spans="1:26" x14ac:dyDescent="0.25">
      <c r="A36" s="33" t="s">
        <v>22</v>
      </c>
      <c r="B36" s="100"/>
      <c r="C36" s="100"/>
      <c r="D36" s="100"/>
      <c r="E36" s="100"/>
      <c r="F36" s="100"/>
      <c r="G36" s="44"/>
      <c r="H36" s="35" t="s">
        <v>155</v>
      </c>
      <c r="I36" s="36"/>
      <c r="L36" s="27"/>
      <c r="O36" s="51" t="s">
        <v>277</v>
      </c>
      <c r="P36" s="73" t="s">
        <v>281</v>
      </c>
      <c r="Q36" s="73" t="s">
        <v>281</v>
      </c>
      <c r="R36" s="53"/>
      <c r="S36" s="70" t="str">
        <f>IF(Attacks!I16&lt;&gt;"",Attacks!B16,"")</f>
        <v/>
      </c>
      <c r="T36" s="70" t="str">
        <f>IF(Attacks!I16&lt;&gt;"",Attacks!H16,"")</f>
        <v/>
      </c>
      <c r="U36" s="70" t="str">
        <f>IF(Attacks!I16&lt;&gt;"",$P$29,"")</f>
        <v/>
      </c>
      <c r="V36" s="70" t="str">
        <f>IF(Attacks!I16&lt;&gt;"",Attacks!J16,"")</f>
        <v/>
      </c>
      <c r="W36" s="53"/>
      <c r="X36" s="77" t="str">
        <f>Attacks!I16</f>
        <v/>
      </c>
      <c r="Y36" s="78"/>
      <c r="Z36" s="78"/>
    </row>
    <row r="37" spans="1:26" x14ac:dyDescent="0.25">
      <c r="A37" s="37">
        <f>ROUNDDOWN(B37*VLOOKUP(C37, DMG!A$38:B$43, 2, FALSE) + E37, 0) * B38</f>
        <v>3</v>
      </c>
      <c r="B37" s="38">
        <f>VLOOKUP(U$10, DMG!A$46:B$51, 2, FALSE) + H37</f>
        <v>1</v>
      </c>
      <c r="C37" s="39" t="s">
        <v>26</v>
      </c>
      <c r="D37" s="22" t="s">
        <v>152</v>
      </c>
      <c r="E37" s="38">
        <f>IF(E38&lt;&gt;0,VLOOKUP(E38, T$3:V$8, 3, FALSE),0)</f>
        <v>0</v>
      </c>
      <c r="F37" s="39" t="s">
        <v>140</v>
      </c>
      <c r="G37" s="25"/>
      <c r="H37" s="39">
        <v>0</v>
      </c>
      <c r="I37" s="40"/>
      <c r="M37" s="26"/>
      <c r="N37" s="26"/>
      <c r="O37" s="51" t="s">
        <v>269</v>
      </c>
      <c r="P37" s="73" t="s">
        <v>281</v>
      </c>
      <c r="Q37" s="73" t="s">
        <v>281</v>
      </c>
      <c r="R37" s="53"/>
      <c r="S37" s="70" t="str">
        <f>IF(Attacks!I17&lt;&gt;"",Attacks!B17,"")</f>
        <v/>
      </c>
      <c r="T37" s="70" t="str">
        <f>IF(Attacks!I17&lt;&gt;"",Attacks!H17,"")</f>
        <v/>
      </c>
      <c r="U37" s="75" t="str">
        <f>IF(Attacks!I17&lt;&gt;"",$P$29,"")</f>
        <v/>
      </c>
      <c r="V37" s="70" t="str">
        <f>IF(Attacks!I17&lt;&gt;"",Attacks!J17,"")</f>
        <v/>
      </c>
      <c r="W37" s="53"/>
      <c r="X37" s="77" t="str">
        <f>Attacks!I17</f>
        <v/>
      </c>
      <c r="Y37" s="78"/>
      <c r="Z37" s="78"/>
    </row>
    <row r="38" spans="1:26" x14ac:dyDescent="0.25">
      <c r="A38" s="45" t="s">
        <v>157</v>
      </c>
      <c r="B38" s="20">
        <v>1</v>
      </c>
      <c r="C38" s="41"/>
      <c r="D38" s="20" t="s">
        <v>248</v>
      </c>
      <c r="E38" s="42" t="s">
        <v>116</v>
      </c>
      <c r="F38" s="41"/>
      <c r="G38" s="65" t="str">
        <f>IF(D38="Melee","Reach","Range")</f>
        <v>Reach</v>
      </c>
      <c r="H38" s="20"/>
      <c r="I38" s="43"/>
      <c r="M38" s="26"/>
      <c r="N38" s="26"/>
      <c r="O38" s="51" t="s">
        <v>274</v>
      </c>
      <c r="P38" s="73" t="s">
        <v>281</v>
      </c>
      <c r="Q38" s="73" t="s">
        <v>281</v>
      </c>
      <c r="R38" s="53"/>
      <c r="S38" s="70" t="str">
        <f>IF(Attacks!I18&lt;&gt;"",Attacks!B18,"")</f>
        <v/>
      </c>
      <c r="T38" s="70" t="str">
        <f>IF(Attacks!I18&lt;&gt;"",Attacks!H18,"")</f>
        <v/>
      </c>
      <c r="U38" s="75" t="str">
        <f>IF(Attacks!I18&lt;&gt;"",$P$29,"")</f>
        <v/>
      </c>
      <c r="V38" s="70" t="str">
        <f>IF(Attacks!I18&lt;&gt;"",Attacks!J18,"")</f>
        <v/>
      </c>
      <c r="W38" s="53"/>
      <c r="X38" s="77" t="str">
        <f>Attacks!I18</f>
        <v/>
      </c>
      <c r="Y38" s="78"/>
      <c r="Z38" s="78"/>
    </row>
    <row r="39" spans="1:26" x14ac:dyDescent="0.25">
      <c r="G39" s="22"/>
      <c r="M39" s="26"/>
      <c r="N39" s="26"/>
      <c r="O39" s="51" t="s">
        <v>278</v>
      </c>
      <c r="P39" s="73" t="s">
        <v>281</v>
      </c>
      <c r="Q39" s="73" t="s">
        <v>281</v>
      </c>
      <c r="R39" s="53"/>
      <c r="S39" s="70" t="str">
        <f>IF(Attacks!I19&lt;&gt;"",Attacks!B19,"")</f>
        <v/>
      </c>
      <c r="T39" s="70" t="str">
        <f>IF(Attacks!I19&lt;&gt;"",Attacks!H19,"")</f>
        <v/>
      </c>
      <c r="U39" s="75" t="str">
        <f>IF(Attacks!I19&lt;&gt;"",$P$29,"")</f>
        <v/>
      </c>
      <c r="V39" s="70" t="str">
        <f>IF(Attacks!I19&lt;&gt;"",Attacks!J19,"")</f>
        <v/>
      </c>
      <c r="W39" s="53"/>
      <c r="X39" s="77" t="str">
        <f>Attacks!I19</f>
        <v/>
      </c>
      <c r="Y39" s="78"/>
      <c r="Z39" s="78"/>
    </row>
    <row r="40" spans="1:26" ht="15" customHeight="1" x14ac:dyDescent="0.25">
      <c r="A40" s="82" t="s">
        <v>216</v>
      </c>
      <c r="B40" s="53"/>
      <c r="G40" s="82" t="s">
        <v>217</v>
      </c>
      <c r="H40" s="82" t="s">
        <v>218</v>
      </c>
      <c r="I40" s="82" t="s">
        <v>219</v>
      </c>
      <c r="J40" s="82" t="s">
        <v>236</v>
      </c>
      <c r="M40" s="26"/>
      <c r="N40" s="26"/>
      <c r="O40" s="51" t="s">
        <v>264</v>
      </c>
      <c r="P40" s="73" t="s">
        <v>281</v>
      </c>
      <c r="Q40" s="73" t="s">
        <v>281</v>
      </c>
      <c r="R40" s="27"/>
      <c r="S40" s="70" t="str">
        <f>IF(Attacks!I20&lt;&gt;"",Attacks!B20,"")</f>
        <v/>
      </c>
      <c r="T40" s="70" t="str">
        <f>IF(Attacks!I20&lt;&gt;"",Attacks!H20,"")</f>
        <v/>
      </c>
      <c r="U40" s="75" t="str">
        <f>IF(Attacks!I20&lt;&gt;"",$P$29,"")</f>
        <v/>
      </c>
      <c r="V40" s="70" t="str">
        <f>IF(Attacks!I20&lt;&gt;"",Attacks!J20,"")</f>
        <v/>
      </c>
      <c r="W40" s="53"/>
      <c r="X40" s="77" t="str">
        <f>Attacks!I20</f>
        <v/>
      </c>
      <c r="Y40" s="78"/>
      <c r="Z40" s="78"/>
    </row>
    <row r="41" spans="1:26" x14ac:dyDescent="0.25">
      <c r="A41" s="82"/>
      <c r="B41" s="15"/>
      <c r="C41" t="s">
        <v>226</v>
      </c>
      <c r="G41" s="82"/>
      <c r="H41" s="90"/>
      <c r="I41" s="90"/>
      <c r="J41" s="90"/>
      <c r="M41" s="26"/>
      <c r="N41" s="26"/>
      <c r="O41" s="51" t="s">
        <v>273</v>
      </c>
      <c r="P41" s="73" t="s">
        <v>281</v>
      </c>
      <c r="Q41" s="73" t="s">
        <v>281</v>
      </c>
      <c r="R41" s="53"/>
      <c r="S41" s="70" t="str">
        <f>IF(Attacks!I21&lt;&gt;"",Attacks!B21,"")</f>
        <v/>
      </c>
      <c r="T41" s="70" t="str">
        <f>IF(Attacks!I21&lt;&gt;"",Attacks!H21,"")</f>
        <v/>
      </c>
      <c r="U41" s="75" t="str">
        <f>IF(Attacks!I21&lt;&gt;"",$P$29,"")</f>
        <v/>
      </c>
      <c r="V41" s="70" t="str">
        <f>IF(Attacks!I21&lt;&gt;"",Attacks!J21,"")</f>
        <v/>
      </c>
      <c r="W41" s="53"/>
      <c r="X41" s="77" t="str">
        <f>Attacks!I21</f>
        <v/>
      </c>
      <c r="Y41" s="78"/>
      <c r="Z41" s="78"/>
    </row>
    <row r="42" spans="1:26" x14ac:dyDescent="0.25">
      <c r="A42" s="88" t="s">
        <v>140</v>
      </c>
      <c r="B42" s="89"/>
      <c r="C42" s="20"/>
      <c r="D42">
        <f>IFERROR(VLOOKUP(A42, 'Condition &amp; Damage Types'!$A$2:$E$33, VLOOKUP(C42, 'Condition &amp; Damage Types'!$K$7:$L$10, 2, FALSE), FALSE), 0)</f>
        <v>0</v>
      </c>
      <c r="G42" s="16">
        <f>SUMIF($C$42:$C$72, "Resistant", $D$42:$D$72)</f>
        <v>0</v>
      </c>
      <c r="H42" s="16">
        <f>SUMIF($C$42:$C$72, "Immune", $D$42:$D$72)</f>
        <v>0</v>
      </c>
      <c r="I42" s="16">
        <f>SUMIF($C$42:$C$72, "Vulnerable", $D$42:$D$72)</f>
        <v>0</v>
      </c>
      <c r="J42" s="58" t="str">
        <f>IF(SUM(G42:I42) &gt; 12, "Yes", "No")</f>
        <v>No</v>
      </c>
      <c r="M42" s="26"/>
      <c r="N42" s="26"/>
      <c r="O42" s="51" t="s">
        <v>268</v>
      </c>
      <c r="P42" s="73" t="s">
        <v>281</v>
      </c>
      <c r="Q42" s="73" t="s">
        <v>281</v>
      </c>
      <c r="R42" s="53"/>
      <c r="S42" s="70" t="str">
        <f>IF(Attacks!I22&lt;&gt;"",Attacks!B22,"")</f>
        <v/>
      </c>
      <c r="T42" s="70" t="str">
        <f>IF(Attacks!I22&lt;&gt;"",Attacks!H22,"")</f>
        <v/>
      </c>
      <c r="U42" s="75" t="str">
        <f>IF(Attacks!I22&lt;&gt;"",$P$29,"")</f>
        <v/>
      </c>
      <c r="V42" s="70" t="str">
        <f>IF(Attacks!I22&lt;&gt;"",Attacks!J22,"")</f>
        <v/>
      </c>
      <c r="W42" s="53"/>
      <c r="X42" s="77" t="str">
        <f>Attacks!I22</f>
        <v/>
      </c>
      <c r="Y42" s="78"/>
      <c r="Z42" s="78"/>
    </row>
    <row r="43" spans="1:26" x14ac:dyDescent="0.25">
      <c r="A43" s="88" t="s">
        <v>141</v>
      </c>
      <c r="B43" s="89"/>
      <c r="C43" s="20"/>
      <c r="D43" s="53">
        <f>IFERROR(VLOOKUP(A43, 'Condition &amp; Damage Types'!$A$2:$E$33, VLOOKUP(C43, 'Condition &amp; Damage Types'!$K$7:$L$10, 2, FALSE), FALSE), 0)</f>
        <v>0</v>
      </c>
      <c r="G43" s="22"/>
      <c r="M43" s="26"/>
      <c r="N43" s="26"/>
      <c r="O43" s="51" t="s">
        <v>263</v>
      </c>
      <c r="P43" s="73" t="s">
        <v>281</v>
      </c>
      <c r="Q43" s="73" t="s">
        <v>281</v>
      </c>
    </row>
    <row r="44" spans="1:26" x14ac:dyDescent="0.25">
      <c r="A44" s="88" t="s">
        <v>142</v>
      </c>
      <c r="B44" s="89"/>
      <c r="C44" s="20"/>
      <c r="D44" s="53">
        <f>IFERROR(VLOOKUP(A44, 'Condition &amp; Damage Types'!$A$2:$E$33, VLOOKUP(C44, 'Condition &amp; Damage Types'!$K$7:$L$10, 2, FALSE), FALSE), 0)</f>
        <v>0</v>
      </c>
      <c r="F44" s="84" t="s">
        <v>239</v>
      </c>
      <c r="G44" s="84"/>
      <c r="H44" s="83" t="str" cm="1">
        <f t="array" ref="H44">_xlfn.TEXTJOIN(", ", TRUE, IF($C$42:$C$57="Resistant", $A$42:$A$57, ""))</f>
        <v/>
      </c>
      <c r="I44" s="83"/>
      <c r="J44" s="83"/>
      <c r="K44" s="83"/>
      <c r="L44" s="83"/>
      <c r="M44" s="83"/>
      <c r="O44" s="51" t="s">
        <v>272</v>
      </c>
      <c r="P44" s="73" t="s">
        <v>281</v>
      </c>
      <c r="Q44" s="73" t="s">
        <v>281</v>
      </c>
    </row>
    <row r="45" spans="1:26" x14ac:dyDescent="0.25">
      <c r="A45" s="88" t="s">
        <v>223</v>
      </c>
      <c r="B45" s="89"/>
      <c r="C45" s="20"/>
      <c r="D45" s="53">
        <f>IFERROR(VLOOKUP(A45, 'Condition &amp; Damage Types'!$A$2:$E$33, VLOOKUP(C45, 'Condition &amp; Damage Types'!$K$7:$L$10, 2, FALSE), FALSE), 0)</f>
        <v>0</v>
      </c>
      <c r="F45" s="84" t="s">
        <v>238</v>
      </c>
      <c r="G45" s="84"/>
      <c r="H45" s="83" t="str" cm="1">
        <f t="array" ref="H45">_xlfn.TEXTJOIN(", ", TRUE, IF($C$42:$C$57="Immune", $A$42:$A$57, ""))</f>
        <v/>
      </c>
      <c r="I45" s="83"/>
      <c r="J45" s="83"/>
      <c r="K45" s="83"/>
      <c r="L45" s="83"/>
      <c r="M45" s="83"/>
      <c r="O45" s="51" t="s">
        <v>267</v>
      </c>
      <c r="P45" s="73" t="s">
        <v>281</v>
      </c>
      <c r="Q45" s="73" t="s">
        <v>281</v>
      </c>
    </row>
    <row r="46" spans="1:26" x14ac:dyDescent="0.25">
      <c r="A46" s="88" t="s">
        <v>224</v>
      </c>
      <c r="B46" s="89"/>
      <c r="C46" s="20"/>
      <c r="D46" s="53">
        <f>IFERROR(VLOOKUP(A46, 'Condition &amp; Damage Types'!$A$2:$E$33, VLOOKUP(C46, 'Condition &amp; Damage Types'!$K$7:$L$10, 2, FALSE), FALSE), 0)</f>
        <v>0</v>
      </c>
      <c r="F46" s="91" t="s">
        <v>240</v>
      </c>
      <c r="G46" s="91"/>
      <c r="H46" s="83" t="str" cm="1">
        <f t="array" ref="H46">_xlfn.TEXTJOIN(", ", TRUE, IF($C$42:$C$57="Vulnerable", $A$42:$A$57, ""))</f>
        <v/>
      </c>
      <c r="I46" s="83"/>
      <c r="J46" s="83"/>
      <c r="K46" s="83"/>
      <c r="L46" s="83"/>
      <c r="M46" s="83"/>
      <c r="O46" s="51" t="s">
        <v>271</v>
      </c>
      <c r="P46" s="73" t="s">
        <v>281</v>
      </c>
      <c r="Q46" s="73" t="s">
        <v>281</v>
      </c>
    </row>
    <row r="47" spans="1:26" x14ac:dyDescent="0.25">
      <c r="A47" s="88" t="s">
        <v>225</v>
      </c>
      <c r="B47" s="89"/>
      <c r="C47" s="20"/>
      <c r="D47" s="53">
        <f>IFERROR(VLOOKUP(A47, 'Condition &amp; Damage Types'!$A$2:$E$33, VLOOKUP(C47, 'Condition &amp; Damage Types'!$K$7:$L$10, 2, FALSE), FALSE), 0)</f>
        <v>0</v>
      </c>
      <c r="F47" s="84" t="s">
        <v>237</v>
      </c>
      <c r="G47" s="84"/>
      <c r="H47" s="83" t="str" cm="1">
        <f t="array" ref="H47">_xlfn.TEXTJOIN(", ", TRUE, IF($C$58:$C$72="Immune", $A$58:$A$72, ""))</f>
        <v/>
      </c>
      <c r="I47" s="83"/>
      <c r="J47" s="83"/>
      <c r="K47" s="83"/>
      <c r="L47" s="83"/>
      <c r="M47" s="83"/>
      <c r="O47" s="51" t="s">
        <v>266</v>
      </c>
      <c r="P47" s="73" t="s">
        <v>281</v>
      </c>
      <c r="Q47" s="73" t="s">
        <v>281</v>
      </c>
    </row>
    <row r="48" spans="1:26" x14ac:dyDescent="0.25">
      <c r="A48" s="88" t="s">
        <v>139</v>
      </c>
      <c r="B48" s="89"/>
      <c r="C48" s="20"/>
      <c r="D48" s="53">
        <f>IFERROR(VLOOKUP(A48, 'Condition &amp; Damage Types'!$A$2:$E$33, VLOOKUP(C48, 'Condition &amp; Damage Types'!$K$7:$L$10, 2, FALSE), FALSE), 0)</f>
        <v>0</v>
      </c>
      <c r="O48" s="51" t="s">
        <v>262</v>
      </c>
      <c r="P48" s="73" t="s">
        <v>281</v>
      </c>
      <c r="Q48" s="73" t="s">
        <v>281</v>
      </c>
    </row>
    <row r="49" spans="1:21" x14ac:dyDescent="0.25">
      <c r="A49" s="88" t="s">
        <v>143</v>
      </c>
      <c r="B49" s="89"/>
      <c r="C49" s="20"/>
      <c r="D49" s="53">
        <f>IFERROR(VLOOKUP(A49, 'Condition &amp; Damage Types'!$A$2:$E$33, VLOOKUP(C49, 'Condition &amp; Damage Types'!$K$7:$L$10, 2, FALSE), FALSE), 0)</f>
        <v>0</v>
      </c>
      <c r="F49" s="15" t="s">
        <v>241</v>
      </c>
      <c r="H49" s="87"/>
      <c r="I49" s="87"/>
      <c r="J49" s="87"/>
      <c r="K49" s="87"/>
      <c r="L49" s="87"/>
      <c r="M49" s="87"/>
      <c r="O49" s="51" t="s">
        <v>261</v>
      </c>
      <c r="P49" s="73" t="s">
        <v>281</v>
      </c>
      <c r="Q49" s="73" t="s">
        <v>281</v>
      </c>
    </row>
    <row r="50" spans="1:21" x14ac:dyDescent="0.25">
      <c r="A50" s="94" t="s">
        <v>144</v>
      </c>
      <c r="B50" s="95"/>
      <c r="C50" s="20"/>
      <c r="D50" s="53">
        <f>IFERROR(VLOOKUP(A50, 'Condition &amp; Damage Types'!$A$2:$E$33, VLOOKUP(C50, 'Condition &amp; Damage Types'!$K$7:$L$10, 2, FALSE), FALSE), 0)</f>
        <v>0</v>
      </c>
      <c r="F50" s="15" t="s">
        <v>247</v>
      </c>
      <c r="H50" s="83" t="str" cm="1">
        <f t="array" ref="H50">_xlfn.TEXTJOIN(", ", TRUE, IF(Senses!B1:B4&gt;0,Senses!C1:C4, ""))</f>
        <v/>
      </c>
      <c r="I50" s="83"/>
      <c r="J50" s="83"/>
      <c r="K50" s="83"/>
      <c r="L50" s="83"/>
      <c r="M50" s="83"/>
      <c r="O50" s="51" t="s">
        <v>270</v>
      </c>
      <c r="P50" s="73" t="s">
        <v>281</v>
      </c>
      <c r="Q50" s="73" t="s">
        <v>281</v>
      </c>
    </row>
    <row r="51" spans="1:21" x14ac:dyDescent="0.25">
      <c r="A51" s="94" t="s">
        <v>145</v>
      </c>
      <c r="B51" s="95"/>
      <c r="C51" s="20"/>
      <c r="D51" s="53">
        <f>IFERROR(VLOOKUP(A51, 'Condition &amp; Damage Types'!$A$2:$E$33, VLOOKUP(C51, 'Condition &amp; Damage Types'!$K$7:$L$10, 2, FALSE), FALSE), 0)</f>
        <v>0</v>
      </c>
      <c r="O51" s="51" t="s">
        <v>276</v>
      </c>
      <c r="P51" s="73" t="s">
        <v>281</v>
      </c>
      <c r="Q51" s="73" t="s">
        <v>281</v>
      </c>
    </row>
    <row r="52" spans="1:21" x14ac:dyDescent="0.25">
      <c r="A52" s="94" t="s">
        <v>146</v>
      </c>
      <c r="B52" s="95"/>
      <c r="C52" s="20"/>
      <c r="D52" s="53">
        <f>IFERROR(VLOOKUP(A52, 'Condition &amp; Damage Types'!$A$2:$E$33, VLOOKUP(C52, 'Condition &amp; Damage Types'!$K$7:$L$10, 2, FALSE), FALSE), 0)</f>
        <v>0</v>
      </c>
      <c r="F52" s="69" t="s">
        <v>255</v>
      </c>
      <c r="G52" s="53"/>
      <c r="H52" s="83" t="str">
        <f>Saves!B9</f>
        <v/>
      </c>
      <c r="I52" s="83"/>
      <c r="J52" s="83"/>
      <c r="K52" s="83"/>
      <c r="L52" s="83"/>
      <c r="M52" s="83"/>
      <c r="N52" s="53"/>
      <c r="O52" s="51" t="s">
        <v>275</v>
      </c>
      <c r="P52" s="73" t="s">
        <v>281</v>
      </c>
      <c r="Q52" s="73" t="s">
        <v>281</v>
      </c>
      <c r="R52" s="53"/>
      <c r="S52" s="53"/>
      <c r="T52" s="53"/>
      <c r="U52" s="53"/>
    </row>
    <row r="53" spans="1:21" x14ac:dyDescent="0.25">
      <c r="A53" s="94" t="s">
        <v>147</v>
      </c>
      <c r="B53" s="95"/>
      <c r="C53" s="20"/>
      <c r="D53" s="53">
        <f>IFERROR(VLOOKUP(A53, 'Condition &amp; Damage Types'!$A$2:$E$33, VLOOKUP(C53, 'Condition &amp; Damage Types'!$K$7:$L$10, 2, FALSE), FALSE), 0)</f>
        <v>0</v>
      </c>
      <c r="F53" s="69" t="s">
        <v>280</v>
      </c>
      <c r="G53" s="53"/>
      <c r="H53" s="83" t="str">
        <f>Skills!B21</f>
        <v/>
      </c>
      <c r="I53" s="83"/>
      <c r="J53" s="83"/>
      <c r="K53" s="83"/>
      <c r="L53" s="83"/>
      <c r="M53" s="83"/>
      <c r="N53" s="53"/>
      <c r="O53" s="51" t="s">
        <v>265</v>
      </c>
      <c r="P53" s="73" t="s">
        <v>281</v>
      </c>
      <c r="Q53" s="73" t="s">
        <v>281</v>
      </c>
      <c r="R53" s="53"/>
      <c r="S53" s="53"/>
      <c r="T53" s="53"/>
      <c r="U53" s="53"/>
    </row>
    <row r="54" spans="1:21" x14ac:dyDescent="0.25">
      <c r="A54" s="94" t="s">
        <v>148</v>
      </c>
      <c r="B54" s="95"/>
      <c r="C54" s="20"/>
      <c r="D54" s="53">
        <f>IFERROR(VLOOKUP(A54, 'Condition &amp; Damage Types'!$A$2:$E$33, VLOOKUP(C54, 'Condition &amp; Damage Types'!$K$7:$L$10, 2, FALSE), FALSE), 0)</f>
        <v>0</v>
      </c>
      <c r="F54" s="69" t="s">
        <v>293</v>
      </c>
      <c r="G54" s="53"/>
      <c r="H54" s="83" t="str">
        <f>Speed!B8</f>
        <v>Walk 30 ft.</v>
      </c>
      <c r="I54" s="83"/>
      <c r="J54" s="83"/>
      <c r="K54" s="83"/>
      <c r="L54" s="83"/>
      <c r="M54" s="83"/>
      <c r="N54" s="53"/>
      <c r="O54" s="53"/>
      <c r="P54" s="53"/>
      <c r="Q54" s="53"/>
      <c r="R54" s="53"/>
      <c r="S54" s="53"/>
      <c r="T54" s="53"/>
      <c r="U54" s="53"/>
    </row>
    <row r="55" spans="1:21" x14ac:dyDescent="0.25">
      <c r="A55" s="94" t="s">
        <v>149</v>
      </c>
      <c r="B55" s="95"/>
      <c r="C55" s="20"/>
      <c r="D55" s="53">
        <f>IFERROR(VLOOKUP(A55, 'Condition &amp; Damage Types'!$A$2:$E$33, VLOOKUP(C55, 'Condition &amp; Damage Types'!$K$7:$L$10, 2, FALSE), FALSE), 0)</f>
        <v>0</v>
      </c>
    </row>
    <row r="56" spans="1:21" x14ac:dyDescent="0.25">
      <c r="A56" s="94" t="s">
        <v>150</v>
      </c>
      <c r="B56" s="95"/>
      <c r="C56" s="20"/>
      <c r="D56" s="53">
        <f>IFERROR(VLOOKUP(A56, 'Condition &amp; Damage Types'!$A$2:$E$33, VLOOKUP(C56, 'Condition &amp; Damage Types'!$K$7:$L$10, 2, FALSE), FALSE), 0)</f>
        <v>0</v>
      </c>
      <c r="F56" s="84" t="s">
        <v>250</v>
      </c>
      <c r="G56" s="84"/>
      <c r="H56" s="85" t="s">
        <v>249</v>
      </c>
      <c r="I56" s="85"/>
      <c r="J56" s="53">
        <f>COUNTA(F57:J68)</f>
        <v>0</v>
      </c>
      <c r="K56" s="53"/>
      <c r="L56" s="86" t="s">
        <v>251</v>
      </c>
      <c r="M56" s="86"/>
      <c r="N56" s="67" t="s">
        <v>249</v>
      </c>
      <c r="O56" s="53">
        <f>COUNTA(L57:O68)</f>
        <v>0</v>
      </c>
      <c r="P56" s="53"/>
      <c r="Q56" s="84" t="s">
        <v>252</v>
      </c>
      <c r="R56" s="84"/>
      <c r="S56" s="85" t="s">
        <v>249</v>
      </c>
      <c r="T56" s="85"/>
      <c r="U56" s="53">
        <f>COUNTA(Q57:U68)</f>
        <v>0</v>
      </c>
    </row>
    <row r="57" spans="1:21" x14ac:dyDescent="0.25">
      <c r="A57" s="94" t="s">
        <v>151</v>
      </c>
      <c r="B57" s="95"/>
      <c r="C57" s="20"/>
      <c r="D57" s="53">
        <f>IFERROR(VLOOKUP(A57, 'Condition &amp; Damage Types'!$A$2:$E$33, VLOOKUP(C57, 'Condition &amp; Damage Types'!$K$7:$L$10, 2, FALSE), FALSE), 0)</f>
        <v>0</v>
      </c>
      <c r="F57" s="79"/>
      <c r="G57" s="80"/>
      <c r="H57" s="80"/>
      <c r="I57" s="80"/>
      <c r="J57" s="81"/>
      <c r="K57" s="53"/>
      <c r="L57" s="79"/>
      <c r="M57" s="80"/>
      <c r="N57" s="80"/>
      <c r="O57" s="81"/>
      <c r="P57" s="53"/>
      <c r="Q57" s="79"/>
      <c r="R57" s="80"/>
      <c r="S57" s="80"/>
      <c r="T57" s="80"/>
      <c r="U57" s="81"/>
    </row>
    <row r="58" spans="1:21" x14ac:dyDescent="0.25">
      <c r="A58" s="92" t="s">
        <v>201</v>
      </c>
      <c r="B58" s="93"/>
      <c r="C58" s="20"/>
      <c r="D58" s="53">
        <f>IFERROR(VLOOKUP(A58, 'Condition &amp; Damage Types'!$A$2:$E$33, VLOOKUP(C58, 'Condition &amp; Damage Types'!$K$7:$L$10, 2, FALSE), FALSE), 0)</f>
        <v>0</v>
      </c>
      <c r="F58" s="79"/>
      <c r="G58" s="80"/>
      <c r="H58" s="80"/>
      <c r="I58" s="80"/>
      <c r="J58" s="81"/>
      <c r="K58" s="53"/>
      <c r="L58" s="79"/>
      <c r="M58" s="80"/>
      <c r="N58" s="80"/>
      <c r="O58" s="81"/>
      <c r="P58" s="53"/>
      <c r="Q58" s="79"/>
      <c r="R58" s="80"/>
      <c r="S58" s="80"/>
      <c r="T58" s="80"/>
      <c r="U58" s="81"/>
    </row>
    <row r="59" spans="1:21" x14ac:dyDescent="0.25">
      <c r="A59" s="92" t="s">
        <v>202</v>
      </c>
      <c r="B59" s="93"/>
      <c r="C59" s="20"/>
      <c r="D59" s="53">
        <f>IFERROR(VLOOKUP(A59, 'Condition &amp; Damage Types'!$A$2:$E$33, VLOOKUP(C59, 'Condition &amp; Damage Types'!$K$7:$L$10, 2, FALSE), FALSE), 0)</f>
        <v>0</v>
      </c>
      <c r="F59" s="79"/>
      <c r="G59" s="80"/>
      <c r="H59" s="80"/>
      <c r="I59" s="80"/>
      <c r="J59" s="81"/>
      <c r="K59" s="53"/>
      <c r="L59" s="79"/>
      <c r="M59" s="80"/>
      <c r="N59" s="80"/>
      <c r="O59" s="81"/>
      <c r="P59" s="53"/>
      <c r="Q59" s="79"/>
      <c r="R59" s="80"/>
      <c r="S59" s="80"/>
      <c r="T59" s="80"/>
      <c r="U59" s="81"/>
    </row>
    <row r="60" spans="1:21" x14ac:dyDescent="0.25">
      <c r="A60" s="92" t="s">
        <v>203</v>
      </c>
      <c r="B60" s="93"/>
      <c r="C60" s="20"/>
      <c r="D60" s="53">
        <f>IFERROR(VLOOKUP(A60, 'Condition &amp; Damage Types'!$A$2:$E$33, VLOOKUP(C60, 'Condition &amp; Damage Types'!$K$7:$L$10, 2, FALSE), FALSE), 0)</f>
        <v>0</v>
      </c>
      <c r="F60" s="79"/>
      <c r="G60" s="80"/>
      <c r="H60" s="80"/>
      <c r="I60" s="80"/>
      <c r="J60" s="81"/>
      <c r="K60" s="53"/>
      <c r="L60" s="79"/>
      <c r="M60" s="80"/>
      <c r="N60" s="80"/>
      <c r="O60" s="81"/>
      <c r="P60" s="53"/>
      <c r="Q60" s="79"/>
      <c r="R60" s="80"/>
      <c r="S60" s="80"/>
      <c r="T60" s="80"/>
      <c r="U60" s="81"/>
    </row>
    <row r="61" spans="1:21" x14ac:dyDescent="0.25">
      <c r="A61" s="92" t="s">
        <v>204</v>
      </c>
      <c r="B61" s="93"/>
      <c r="C61" s="20"/>
      <c r="D61" s="53">
        <f>IFERROR(VLOOKUP(A61, 'Condition &amp; Damage Types'!$A$2:$E$33, VLOOKUP(C61, 'Condition &amp; Damage Types'!$K$7:$L$10, 2, FALSE), FALSE), 0)</f>
        <v>0</v>
      </c>
      <c r="F61" s="79"/>
      <c r="G61" s="80"/>
      <c r="H61" s="80"/>
      <c r="I61" s="80"/>
      <c r="J61" s="81"/>
      <c r="K61" s="53"/>
      <c r="L61" s="79"/>
      <c r="M61" s="80"/>
      <c r="N61" s="80"/>
      <c r="O61" s="81"/>
      <c r="P61" s="53"/>
      <c r="Q61" s="79"/>
      <c r="R61" s="80"/>
      <c r="S61" s="80"/>
      <c r="T61" s="80"/>
      <c r="U61" s="81"/>
    </row>
    <row r="62" spans="1:21" x14ac:dyDescent="0.25">
      <c r="A62" s="92" t="s">
        <v>205</v>
      </c>
      <c r="B62" s="93"/>
      <c r="C62" s="20"/>
      <c r="D62" s="53">
        <f>IFERROR(VLOOKUP(A62, 'Condition &amp; Damage Types'!$A$2:$E$33, VLOOKUP(C62, 'Condition &amp; Damage Types'!$K$7:$L$10, 2, FALSE), FALSE), 0)</f>
        <v>0</v>
      </c>
      <c r="F62" s="79"/>
      <c r="G62" s="80"/>
      <c r="H62" s="80"/>
      <c r="I62" s="80"/>
      <c r="J62" s="81"/>
      <c r="K62" s="53"/>
      <c r="L62" s="79"/>
      <c r="M62" s="80"/>
      <c r="N62" s="80"/>
      <c r="O62" s="81"/>
      <c r="P62" s="53"/>
      <c r="Q62" s="79"/>
      <c r="R62" s="80"/>
      <c r="S62" s="80"/>
      <c r="T62" s="80"/>
      <c r="U62" s="81"/>
    </row>
    <row r="63" spans="1:21" x14ac:dyDescent="0.25">
      <c r="A63" s="92" t="s">
        <v>206</v>
      </c>
      <c r="B63" s="93"/>
      <c r="C63" s="20"/>
      <c r="D63" s="53">
        <f>IFERROR(VLOOKUP(A63, 'Condition &amp; Damage Types'!$A$2:$E$33, VLOOKUP(C63, 'Condition &amp; Damage Types'!$K$7:$L$10, 2, FALSE), FALSE), 0)</f>
        <v>0</v>
      </c>
      <c r="F63" s="79"/>
      <c r="G63" s="80"/>
      <c r="H63" s="80"/>
      <c r="I63" s="80"/>
      <c r="J63" s="81"/>
      <c r="K63" s="53"/>
      <c r="L63" s="79"/>
      <c r="M63" s="80"/>
      <c r="N63" s="80"/>
      <c r="O63" s="81"/>
      <c r="P63" s="53"/>
      <c r="Q63" s="79"/>
      <c r="R63" s="80"/>
      <c r="S63" s="80"/>
      <c r="T63" s="80"/>
      <c r="U63" s="81"/>
    </row>
    <row r="64" spans="1:21" x14ac:dyDescent="0.25">
      <c r="A64" s="92" t="s">
        <v>207</v>
      </c>
      <c r="B64" s="93"/>
      <c r="C64" s="20"/>
      <c r="D64" s="53">
        <f>IFERROR(VLOOKUP(A64, 'Condition &amp; Damage Types'!$A$2:$E$33, VLOOKUP(C64, 'Condition &amp; Damage Types'!$K$7:$L$10, 2, FALSE), FALSE), 0)</f>
        <v>0</v>
      </c>
      <c r="F64" s="79"/>
      <c r="G64" s="80"/>
      <c r="H64" s="80"/>
      <c r="I64" s="80"/>
      <c r="J64" s="81"/>
      <c r="K64" s="53"/>
      <c r="L64" s="79"/>
      <c r="M64" s="80"/>
      <c r="N64" s="80"/>
      <c r="O64" s="81"/>
      <c r="P64" s="53"/>
      <c r="Q64" s="79"/>
      <c r="R64" s="80"/>
      <c r="S64" s="80"/>
      <c r="T64" s="80"/>
      <c r="U64" s="81"/>
    </row>
    <row r="65" spans="1:21" x14ac:dyDescent="0.25">
      <c r="A65" s="92" t="s">
        <v>208</v>
      </c>
      <c r="B65" s="93"/>
      <c r="C65" s="20"/>
      <c r="D65" s="53">
        <f>IFERROR(VLOOKUP(A65, 'Condition &amp; Damage Types'!$A$2:$E$33, VLOOKUP(C65, 'Condition &amp; Damage Types'!$K$7:$L$10, 2, FALSE), FALSE), 0)</f>
        <v>0</v>
      </c>
      <c r="F65" s="79"/>
      <c r="G65" s="80"/>
      <c r="H65" s="80"/>
      <c r="I65" s="80"/>
      <c r="J65" s="81"/>
      <c r="K65" s="53"/>
      <c r="L65" s="79"/>
      <c r="M65" s="80"/>
      <c r="N65" s="80"/>
      <c r="O65" s="81"/>
      <c r="P65" s="53"/>
      <c r="Q65" s="79"/>
      <c r="R65" s="80"/>
      <c r="S65" s="80"/>
      <c r="T65" s="80"/>
      <c r="U65" s="81"/>
    </row>
    <row r="66" spans="1:21" x14ac:dyDescent="0.25">
      <c r="A66" s="92" t="s">
        <v>209</v>
      </c>
      <c r="B66" s="93"/>
      <c r="C66" s="20"/>
      <c r="D66" s="53">
        <f>IFERROR(VLOOKUP(A66, 'Condition &amp; Damage Types'!$A$2:$E$33, VLOOKUP(C66, 'Condition &amp; Damage Types'!$K$7:$L$10, 2, FALSE), FALSE), 0)</f>
        <v>0</v>
      </c>
      <c r="F66" s="79"/>
      <c r="G66" s="80"/>
      <c r="H66" s="80"/>
      <c r="I66" s="80"/>
      <c r="J66" s="81"/>
      <c r="K66" s="53"/>
      <c r="L66" s="79"/>
      <c r="M66" s="80"/>
      <c r="N66" s="80"/>
      <c r="O66" s="81"/>
      <c r="P66" s="53"/>
      <c r="Q66" s="79"/>
      <c r="R66" s="80"/>
      <c r="S66" s="80"/>
      <c r="T66" s="80"/>
      <c r="U66" s="81"/>
    </row>
    <row r="67" spans="1:21" x14ac:dyDescent="0.25">
      <c r="A67" s="92" t="s">
        <v>210</v>
      </c>
      <c r="B67" s="93"/>
      <c r="C67" s="20"/>
      <c r="D67" s="53">
        <f>IFERROR(VLOOKUP(A67, 'Condition &amp; Damage Types'!$A$2:$E$33, VLOOKUP(C67, 'Condition &amp; Damage Types'!$K$7:$L$10, 2, FALSE), FALSE), 0)</f>
        <v>0</v>
      </c>
      <c r="F67" s="79"/>
      <c r="G67" s="80"/>
      <c r="H67" s="80"/>
      <c r="I67" s="80"/>
      <c r="J67" s="81"/>
      <c r="K67" s="53"/>
      <c r="L67" s="79"/>
      <c r="M67" s="80"/>
      <c r="N67" s="80"/>
      <c r="O67" s="81"/>
      <c r="P67" s="53"/>
      <c r="Q67" s="79"/>
      <c r="R67" s="80"/>
      <c r="S67" s="80"/>
      <c r="T67" s="80"/>
      <c r="U67" s="81"/>
    </row>
    <row r="68" spans="1:21" x14ac:dyDescent="0.25">
      <c r="A68" s="92" t="s">
        <v>211</v>
      </c>
      <c r="B68" s="93"/>
      <c r="C68" s="20"/>
      <c r="D68" s="53">
        <f>IFERROR(VLOOKUP(A68, 'Condition &amp; Damage Types'!$A$2:$E$33, VLOOKUP(C68, 'Condition &amp; Damage Types'!$K$7:$L$10, 2, FALSE), FALSE), 0)</f>
        <v>0</v>
      </c>
      <c r="F68" s="79"/>
      <c r="G68" s="80"/>
      <c r="H68" s="80"/>
      <c r="I68" s="80"/>
      <c r="J68" s="81"/>
      <c r="K68" s="53"/>
      <c r="L68" s="79"/>
      <c r="M68" s="80"/>
      <c r="N68" s="80"/>
      <c r="O68" s="81"/>
      <c r="P68" s="53"/>
      <c r="Q68" s="79"/>
      <c r="R68" s="80"/>
      <c r="S68" s="80"/>
      <c r="T68" s="80"/>
      <c r="U68" s="81"/>
    </row>
    <row r="69" spans="1:21" x14ac:dyDescent="0.25">
      <c r="A69" s="92" t="s">
        <v>212</v>
      </c>
      <c r="B69" s="93"/>
      <c r="C69" s="20"/>
      <c r="D69" s="53">
        <f>IFERROR(VLOOKUP(A69, 'Condition &amp; Damage Types'!$A$2:$E$33, VLOOKUP(C69, 'Condition &amp; Damage Types'!$K$7:$L$10, 2, FALSE), FALSE), 0)</f>
        <v>0</v>
      </c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</row>
    <row r="70" spans="1:21" x14ac:dyDescent="0.25">
      <c r="A70" s="92" t="s">
        <v>213</v>
      </c>
      <c r="B70" s="93"/>
      <c r="C70" s="20"/>
      <c r="D70" s="53">
        <f>IFERROR(VLOOKUP(A70, 'Condition &amp; Damage Types'!$A$2:$E$33, VLOOKUP(C70, 'Condition &amp; Damage Types'!$K$7:$L$10, 2, FALSE), FALSE), 0)</f>
        <v>0</v>
      </c>
      <c r="F70" s="53"/>
      <c r="G70" s="53"/>
      <c r="H70" s="53"/>
      <c r="I70" s="53"/>
      <c r="J70" s="69" t="s">
        <v>254</v>
      </c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</row>
    <row r="71" spans="1:21" x14ac:dyDescent="0.25">
      <c r="A71" s="92" t="s">
        <v>214</v>
      </c>
      <c r="B71" s="93"/>
      <c r="C71" s="20"/>
      <c r="D71" s="53">
        <f>IFERROR(VLOOKUP(A71, 'Condition &amp; Damage Types'!$A$2:$E$33, VLOOKUP(C71, 'Condition &amp; Damage Types'!$K$7:$L$10, 2, FALSE), FALSE), 0)</f>
        <v>0</v>
      </c>
      <c r="F71" s="69" t="s">
        <v>165</v>
      </c>
      <c r="G71" s="66" t="s">
        <v>253</v>
      </c>
      <c r="H71" s="66"/>
      <c r="I71" s="53">
        <f>COUNTA(F72:J77)</f>
        <v>0</v>
      </c>
      <c r="J71" s="53" t="str">
        <f>IF(I71&gt;0, "Yes", "No")</f>
        <v>No</v>
      </c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 x14ac:dyDescent="0.25">
      <c r="A72" s="92" t="s">
        <v>215</v>
      </c>
      <c r="B72" s="93"/>
      <c r="C72" s="20"/>
      <c r="D72" s="53">
        <f>IFERROR(VLOOKUP(A72, 'Condition &amp; Damage Types'!$A$2:$E$33, VLOOKUP(C72, 'Condition &amp; Damage Types'!$K$7:$L$10, 2, FALSE), FALSE), 0)</f>
        <v>0</v>
      </c>
      <c r="F72" s="79"/>
      <c r="G72" s="80"/>
      <c r="H72" s="80"/>
      <c r="I72" s="80"/>
      <c r="J72" s="81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</row>
    <row r="73" spans="1:21" x14ac:dyDescent="0.25">
      <c r="F73" s="79"/>
      <c r="G73" s="80"/>
      <c r="H73" s="80"/>
      <c r="I73" s="80"/>
      <c r="J73" s="81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</row>
    <row r="74" spans="1:21" x14ac:dyDescent="0.25">
      <c r="F74" s="79"/>
      <c r="G74" s="80"/>
      <c r="H74" s="80"/>
      <c r="I74" s="80"/>
      <c r="J74" s="81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</row>
    <row r="75" spans="1:21" x14ac:dyDescent="0.25">
      <c r="F75" s="79"/>
      <c r="G75" s="80"/>
      <c r="H75" s="80"/>
      <c r="I75" s="80"/>
      <c r="J75" s="81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</row>
    <row r="76" spans="1:21" x14ac:dyDescent="0.25">
      <c r="F76" s="79"/>
      <c r="G76" s="80"/>
      <c r="H76" s="80"/>
      <c r="I76" s="80"/>
      <c r="J76" s="81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</row>
    <row r="77" spans="1:21" x14ac:dyDescent="0.25">
      <c r="D77" s="53"/>
      <c r="E77" s="53"/>
      <c r="F77" s="79"/>
      <c r="G77" s="80"/>
      <c r="H77" s="80"/>
      <c r="I77" s="80"/>
      <c r="J77" s="81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</row>
    <row r="80" spans="1:21" x14ac:dyDescent="0.25">
      <c r="A80" s="23"/>
    </row>
    <row r="81" spans="1:2" x14ac:dyDescent="0.25">
      <c r="A81" s="23"/>
    </row>
    <row r="82" spans="1:2" x14ac:dyDescent="0.25">
      <c r="A82" s="23"/>
    </row>
    <row r="83" spans="1:2" x14ac:dyDescent="0.25">
      <c r="A83" s="23"/>
    </row>
    <row r="84" spans="1:2" x14ac:dyDescent="0.25">
      <c r="A84" s="23"/>
    </row>
    <row r="85" spans="1:2" x14ac:dyDescent="0.25">
      <c r="A85" s="23"/>
    </row>
    <row r="86" spans="1:2" x14ac:dyDescent="0.25">
      <c r="A86" s="22"/>
    </row>
    <row r="87" spans="1:2" x14ac:dyDescent="0.25">
      <c r="A87" s="23"/>
      <c r="B87" s="53"/>
    </row>
    <row r="88" spans="1:2" x14ac:dyDescent="0.25">
      <c r="A88" s="23"/>
    </row>
    <row r="89" spans="1:2" x14ac:dyDescent="0.25">
      <c r="A89" s="23"/>
    </row>
    <row r="90" spans="1:2" x14ac:dyDescent="0.25">
      <c r="A90" s="23"/>
    </row>
    <row r="91" spans="1:2" x14ac:dyDescent="0.25">
      <c r="A91" s="23"/>
    </row>
    <row r="92" spans="1:2" x14ac:dyDescent="0.25">
      <c r="A92" s="23"/>
    </row>
    <row r="93" spans="1:2" x14ac:dyDescent="0.25">
      <c r="A93" s="23"/>
    </row>
    <row r="94" spans="1:2" x14ac:dyDescent="0.25">
      <c r="A94" s="23"/>
    </row>
    <row r="95" spans="1:2" x14ac:dyDescent="0.25">
      <c r="A95" s="23"/>
    </row>
    <row r="96" spans="1:2" x14ac:dyDescent="0.25">
      <c r="A96" s="22"/>
    </row>
    <row r="97" spans="1:7" x14ac:dyDescent="0.25">
      <c r="A97" s="23"/>
    </row>
    <row r="98" spans="1:7" x14ac:dyDescent="0.25">
      <c r="A98" s="23"/>
      <c r="C98" s="22"/>
    </row>
    <row r="99" spans="1:7" x14ac:dyDescent="0.25">
      <c r="A99" s="23"/>
    </row>
    <row r="100" spans="1:7" x14ac:dyDescent="0.25">
      <c r="A100" s="23"/>
    </row>
    <row r="101" spans="1:7" x14ac:dyDescent="0.25">
      <c r="A101" s="23"/>
    </row>
    <row r="102" spans="1:7" x14ac:dyDescent="0.25">
      <c r="A102" s="23"/>
    </row>
    <row r="103" spans="1:7" x14ac:dyDescent="0.25">
      <c r="A103" s="23"/>
    </row>
    <row r="104" spans="1:7" x14ac:dyDescent="0.25">
      <c r="A104" s="23"/>
    </row>
    <row r="105" spans="1:7" x14ac:dyDescent="0.25">
      <c r="A105" s="23"/>
      <c r="D105" s="22"/>
      <c r="E105" s="22"/>
      <c r="F105" s="22"/>
      <c r="G105" s="22"/>
    </row>
    <row r="106" spans="1:7" x14ac:dyDescent="0.25">
      <c r="A106" s="22"/>
    </row>
    <row r="107" spans="1:7" x14ac:dyDescent="0.25">
      <c r="A107" s="23"/>
    </row>
    <row r="108" spans="1:7" x14ac:dyDescent="0.25">
      <c r="A108" s="23"/>
    </row>
    <row r="109" spans="1:7" x14ac:dyDescent="0.25">
      <c r="A109" s="23"/>
    </row>
    <row r="110" spans="1:7" x14ac:dyDescent="0.25">
      <c r="A110" s="23"/>
    </row>
    <row r="111" spans="1:7" x14ac:dyDescent="0.25">
      <c r="A111" s="23"/>
    </row>
    <row r="112" spans="1:7" x14ac:dyDescent="0.25">
      <c r="A112" s="23"/>
    </row>
    <row r="113" spans="1:2" x14ac:dyDescent="0.25">
      <c r="A113" s="23"/>
    </row>
    <row r="114" spans="1:2" x14ac:dyDescent="0.25">
      <c r="A114" s="23"/>
    </row>
    <row r="115" spans="1:2" x14ac:dyDescent="0.25">
      <c r="A115" s="23"/>
      <c r="B115" s="22"/>
    </row>
  </sheetData>
  <sortState xmlns:xlrd2="http://schemas.microsoft.com/office/spreadsheetml/2017/richdata2" ref="O36:Q53">
    <sortCondition ref="O36:O53"/>
  </sortState>
  <mergeCells count="116">
    <mergeCell ref="Q1:R1"/>
    <mergeCell ref="Q2:R2"/>
    <mergeCell ref="A42:B42"/>
    <mergeCell ref="A43:B43"/>
    <mergeCell ref="A44:B44"/>
    <mergeCell ref="O33:R33"/>
    <mergeCell ref="A40:A41"/>
    <mergeCell ref="G40:G41"/>
    <mergeCell ref="H40:H41"/>
    <mergeCell ref="B16:F16"/>
    <mergeCell ref="B12:F12"/>
    <mergeCell ref="B28:F28"/>
    <mergeCell ref="E1:K1"/>
    <mergeCell ref="B32:F32"/>
    <mergeCell ref="B36:F36"/>
    <mergeCell ref="B24:F24"/>
    <mergeCell ref="B20:F20"/>
    <mergeCell ref="A55:B55"/>
    <mergeCell ref="A56:B56"/>
    <mergeCell ref="A57:B57"/>
    <mergeCell ref="A58:B58"/>
    <mergeCell ref="A59:B59"/>
    <mergeCell ref="A50:B50"/>
    <mergeCell ref="A51:B51"/>
    <mergeCell ref="A52:B52"/>
    <mergeCell ref="A53:B53"/>
    <mergeCell ref="A54:B54"/>
    <mergeCell ref="A68:B68"/>
    <mergeCell ref="A69:B69"/>
    <mergeCell ref="A70:B70"/>
    <mergeCell ref="A71:B71"/>
    <mergeCell ref="A72:B72"/>
    <mergeCell ref="A66:B66"/>
    <mergeCell ref="A67:B67"/>
    <mergeCell ref="A65:B65"/>
    <mergeCell ref="A60:B60"/>
    <mergeCell ref="A61:B61"/>
    <mergeCell ref="A62:B62"/>
    <mergeCell ref="A63:B63"/>
    <mergeCell ref="A64:B64"/>
    <mergeCell ref="H52:M52"/>
    <mergeCell ref="H49:M49"/>
    <mergeCell ref="H50:M50"/>
    <mergeCell ref="A48:B48"/>
    <mergeCell ref="A49:B49"/>
    <mergeCell ref="I40:I41"/>
    <mergeCell ref="J40:J41"/>
    <mergeCell ref="F44:G44"/>
    <mergeCell ref="F45:G45"/>
    <mergeCell ref="F47:G47"/>
    <mergeCell ref="F46:G46"/>
    <mergeCell ref="H44:M44"/>
    <mergeCell ref="H45:M45"/>
    <mergeCell ref="H46:M46"/>
    <mergeCell ref="H47:M47"/>
    <mergeCell ref="A45:B45"/>
    <mergeCell ref="A46:B46"/>
    <mergeCell ref="A47:B47"/>
    <mergeCell ref="F57:J57"/>
    <mergeCell ref="F58:J58"/>
    <mergeCell ref="F59:J59"/>
    <mergeCell ref="F60:J60"/>
    <mergeCell ref="F61:J61"/>
    <mergeCell ref="F62:J62"/>
    <mergeCell ref="F63:J63"/>
    <mergeCell ref="F64:J64"/>
    <mergeCell ref="L59:O59"/>
    <mergeCell ref="L60:O60"/>
    <mergeCell ref="W1:W2"/>
    <mergeCell ref="X1:X2"/>
    <mergeCell ref="L65:O65"/>
    <mergeCell ref="L68:O68"/>
    <mergeCell ref="Q65:U65"/>
    <mergeCell ref="Q68:U68"/>
    <mergeCell ref="F77:J77"/>
    <mergeCell ref="H54:M54"/>
    <mergeCell ref="L66:O66"/>
    <mergeCell ref="Q66:U66"/>
    <mergeCell ref="L67:O67"/>
    <mergeCell ref="Q67:U67"/>
    <mergeCell ref="F65:J65"/>
    <mergeCell ref="F66:J66"/>
    <mergeCell ref="F67:J67"/>
    <mergeCell ref="F74:J74"/>
    <mergeCell ref="H53:M53"/>
    <mergeCell ref="F56:G56"/>
    <mergeCell ref="H56:I56"/>
    <mergeCell ref="L56:M56"/>
    <mergeCell ref="Q56:R56"/>
    <mergeCell ref="S56:T56"/>
    <mergeCell ref="F72:J72"/>
    <mergeCell ref="F73:J73"/>
    <mergeCell ref="X36:Z36"/>
    <mergeCell ref="X37:Z37"/>
    <mergeCell ref="X38:Z38"/>
    <mergeCell ref="X39:Z39"/>
    <mergeCell ref="X40:Z40"/>
    <mergeCell ref="X41:Z41"/>
    <mergeCell ref="X42:Z42"/>
    <mergeCell ref="F75:J75"/>
    <mergeCell ref="F76:J76"/>
    <mergeCell ref="F68:J68"/>
    <mergeCell ref="L61:O61"/>
    <mergeCell ref="L62:O62"/>
    <mergeCell ref="L63:O63"/>
    <mergeCell ref="L64:O64"/>
    <mergeCell ref="Q57:U57"/>
    <mergeCell ref="Q58:U58"/>
    <mergeCell ref="Q59:U59"/>
    <mergeCell ref="Q60:U60"/>
    <mergeCell ref="Q61:U61"/>
    <mergeCell ref="Q62:U62"/>
    <mergeCell ref="Q63:U63"/>
    <mergeCell ref="Q64:U64"/>
    <mergeCell ref="L57:O57"/>
    <mergeCell ref="L58:O58"/>
  </mergeCells>
  <phoneticPr fontId="1" type="noConversion"/>
  <dataValidations count="7">
    <dataValidation type="list" allowBlank="1" showInputMessage="1" showErrorMessage="1" sqref="O14" xr:uid="{2A5D73A1-9ECA-4883-9DB1-DB3E0F634864}">
      <formula1>"0,1,2,3,4,5,6,7,8,9"</formula1>
    </dataValidation>
    <dataValidation type="list" allowBlank="1" showInputMessage="1" showErrorMessage="1" sqref="L12 L15 P36:Q53 W3:X8" xr:uid="{802FEBA2-EC1F-4F87-AE89-1C9A90C52C96}">
      <formula1>"Yes,No"</formula1>
    </dataValidation>
    <dataValidation type="list" allowBlank="1" showInputMessage="1" showErrorMessage="1" sqref="L13:L14" xr:uid="{DA692C51-A0CC-4D6C-9258-18785AC4E728}">
      <formula1>"0,1,2,3,4,5,6,7,8,9,10"</formula1>
    </dataValidation>
    <dataValidation type="list" allowBlank="1" showInputMessage="1" showErrorMessage="1" sqref="C42:C57" xr:uid="{22FDF2F2-925A-4871-BC4F-1FC0663D6D1E}">
      <formula1>",Resistant,Immune,Vulnerable"</formula1>
    </dataValidation>
    <dataValidation type="list" allowBlank="1" showInputMessage="1" showErrorMessage="1" sqref="C58:C72" xr:uid="{58A7BE97-3761-47DB-A29E-4253F0C60096}">
      <formula1>"Immune"</formula1>
    </dataValidation>
    <dataValidation type="list" allowBlank="1" showInputMessage="1" showErrorMessage="1" sqref="D14 D18 D22 D26 D30 D34 D38" xr:uid="{99DFE3AF-EE43-400D-9B0C-8DC6DACD68DF}">
      <formula1>"Melee,Ranged,Spell"</formula1>
    </dataValidation>
    <dataValidation type="list" allowBlank="1" showInputMessage="1" showErrorMessage="1" sqref="E38 E34 E30 E26 E22 E18 E14" xr:uid="{9929406C-6601-4217-B576-0863522FDCA6}">
      <formula1>$T$3:$T$8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023680E-E012-46B5-AF75-84E5BA45AE27}">
          <x14:formula1>
            <xm:f>DMG!$A$2:$A$35</xm:f>
          </x14:formula1>
          <xm:sqref>P20:Q20</xm:sqref>
        </x14:dataValidation>
        <x14:dataValidation type="list" allowBlank="1" showInputMessage="1" showErrorMessage="1" xr:uid="{76483615-26B4-4B60-B4AB-7D09274AAFBE}">
          <x14:formula1>
            <xm:f>DMG!$A$6:$A$35</xm:f>
          </x14:formula1>
          <xm:sqref>U3:U8</xm:sqref>
        </x14:dataValidation>
        <x14:dataValidation type="list" allowBlank="1" showInputMessage="1" showErrorMessage="1" xr:uid="{0FF3B97D-DCBB-436C-9A58-19FBD03D756A}">
          <x14:formula1>
            <xm:f>Attacks!$A$7:$A$13</xm:f>
          </x14:formula1>
          <xm:sqref>C4:I6</xm:sqref>
        </x14:dataValidation>
        <x14:dataValidation type="list" allowBlank="1" showInputMessage="1" showErrorMessage="1" xr:uid="{516D8A6C-2EEE-4D65-B3B5-6918B9946316}">
          <x14:formula1>
            <xm:f>DMG!$A$38:$A$43</xm:f>
          </x14:formula1>
          <xm:sqref>C13 C37 C33 C29 C25 C21 C17</xm:sqref>
        </x14:dataValidation>
        <x14:dataValidation type="list" allowBlank="1" showInputMessage="1" showErrorMessage="1" xr:uid="{6C2961F5-8F58-4AC3-B151-6EFAB0BDBA64}">
          <x14:formula1>
            <xm:f>DMG!$A$54:$A$66</xm:f>
          </x14:formula1>
          <xm:sqref>F13 F37 F33 F29 F25 F21 F17</xm:sqref>
        </x14:dataValidation>
        <x14:dataValidation type="list" allowBlank="1" showInputMessage="1" showErrorMessage="1" xr:uid="{B0233BB8-EC24-407B-B371-20AF1E6BFAF8}">
          <x14:formula1>
            <xm:f>DMG!$F$38:$F$53</xm:f>
          </x14:formula1>
          <xm:sqref>U11</xm:sqref>
        </x14:dataValidation>
        <x14:dataValidation type="list" allowBlank="1" showInputMessage="1" showErrorMessage="1" xr:uid="{D1BC82D4-EC4D-4424-88D6-6FFA1F492A4B}">
          <x14:formula1>
            <xm:f>DMG!$D$38:$D$51</xm:f>
          </x14:formula1>
          <xm:sqref>U12</xm:sqref>
        </x14:dataValidation>
        <x14:dataValidation type="list" allowBlank="1" showInputMessage="1" showErrorMessage="1" xr:uid="{075AE525-471D-4A07-A7B2-D363819C9433}">
          <x14:formula1>
            <xm:f>DMG!$H$37:$H$42</xm:f>
          </x14:formula1>
          <xm:sqref>U10</xm:sqref>
        </x14:dataValidation>
        <x14:dataValidation type="list" allowBlank="1" showInputMessage="1" showErrorMessage="1" xr:uid="{625F3F78-B0C6-40D4-B72F-6908870632D8}">
          <x14:formula1>
            <xm:f>Attacks!$D$7:$D$8</xm:f>
          </x14:formula1>
          <xm:sqref>O27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3FC63-D98C-400C-B633-DE5C303D69DD}">
  <dimension ref="A1:J22"/>
  <sheetViews>
    <sheetView workbookViewId="0">
      <selection activeCell="I26" sqref="I26"/>
    </sheetView>
  </sheetViews>
  <sheetFormatPr defaultRowHeight="15" x14ac:dyDescent="0.25"/>
  <cols>
    <col min="1" max="1" width="15.42578125" bestFit="1" customWidth="1"/>
    <col min="2" max="2" width="13.28515625" bestFit="1" customWidth="1"/>
    <col min="3" max="3" width="16" bestFit="1" customWidth="1"/>
    <col min="6" max="6" width="14.140625" bestFit="1" customWidth="1"/>
    <col min="7" max="7" width="12.85546875" bestFit="1" customWidth="1"/>
    <col min="9" max="9" width="29.42578125" bestFit="1" customWidth="1"/>
    <col min="10" max="10" width="12.5703125" bestFit="1" customWidth="1"/>
  </cols>
  <sheetData>
    <row r="1" spans="1:10" x14ac:dyDescent="0.25">
      <c r="A1" s="31" t="s">
        <v>156</v>
      </c>
      <c r="B1" s="26"/>
      <c r="C1" s="26"/>
      <c r="D1" s="53"/>
      <c r="E1" s="53"/>
      <c r="F1" s="53"/>
      <c r="G1" s="53"/>
    </row>
    <row r="2" spans="1:10" x14ac:dyDescent="0.25">
      <c r="A2" s="32">
        <f>IF(Monster!C4 &lt;&gt; 0, VLOOKUP(Monster!C4, Attacks!$A$7:$B$13, 2, FALSE), 0)</f>
        <v>0</v>
      </c>
      <c r="B2" s="32">
        <f>IF(Monster!D4 &lt;&gt; 0, VLOOKUP(Monster!D4, Attacks!$A$7:$B$13, 2, FALSE), 0)</f>
        <v>0</v>
      </c>
      <c r="C2" s="32">
        <f>IF(Monster!E4 &lt;&gt; 0, VLOOKUP(Monster!E4, Attacks!$A$7:$B$13, 2, FALSE), 0)</f>
        <v>0</v>
      </c>
      <c r="D2" s="32">
        <f>IF(Monster!F4 &lt;&gt; 0, VLOOKUP(Monster!F4, Attacks!$A$7:$B$13, 2, FALSE), 0)</f>
        <v>0</v>
      </c>
      <c r="E2" s="32">
        <f>IF(Monster!G4 &lt;&gt; 0, VLOOKUP(Monster!G4, Attacks!$A$7:$B$13, 2, FALSE), 0)</f>
        <v>0</v>
      </c>
      <c r="F2" s="32">
        <f>IF(Monster!H4 &lt;&gt; 0, VLOOKUP(Monster!H4, Attacks!$A$7:$B$13, 2, FALSE), 0)</f>
        <v>0</v>
      </c>
      <c r="G2" s="32">
        <f>IF(Monster!I4 &lt;&gt; 0, VLOOKUP(Monster!I4, Attacks!$A$7:$B$13, 2, FALSE), 0)</f>
        <v>0</v>
      </c>
    </row>
    <row r="3" spans="1:10" x14ac:dyDescent="0.25">
      <c r="A3" s="32">
        <f>IF(Monster!C5 &lt;&gt; 0, VLOOKUP(Monster!C5, Attacks!$A$7:$B$13, 2, FALSE), 0)</f>
        <v>0</v>
      </c>
      <c r="B3" s="32">
        <f>IF(Monster!D5 &lt;&gt; 0, VLOOKUP(Monster!D5, Attacks!$A$7:$B$13, 2, FALSE), 0)</f>
        <v>0</v>
      </c>
      <c r="C3" s="32">
        <f>IF(Monster!E5 &lt;&gt; 0, VLOOKUP(Monster!E5, Attacks!$A$7:$B$13, 2, FALSE), 0)</f>
        <v>0</v>
      </c>
      <c r="D3" s="32">
        <f>IF(Monster!F5 &lt;&gt; 0, VLOOKUP(Monster!F5, Attacks!$A$7:$B$13, 2, FALSE), 0)</f>
        <v>0</v>
      </c>
      <c r="E3" s="32">
        <f>IF(Monster!G5 &lt;&gt; 0, VLOOKUP(Monster!G5, Attacks!$A$7:$B$13, 2, FALSE), 0)</f>
        <v>0</v>
      </c>
      <c r="F3" s="32">
        <f>IF(Monster!H5 &lt;&gt; 0, VLOOKUP(Monster!H5, Attacks!$A$7:$B$13, 2, FALSE), 0)</f>
        <v>0</v>
      </c>
      <c r="G3" s="32">
        <f>IF(Monster!I5 &lt;&gt; 0, VLOOKUP(Monster!I5, Attacks!$A$7:$B$13, 2, FALSE), 0)</f>
        <v>0</v>
      </c>
    </row>
    <row r="4" spans="1:10" x14ac:dyDescent="0.25">
      <c r="A4" s="32">
        <f>IF(Monster!C6 &lt;&gt; 0, VLOOKUP(Monster!C6, Attacks!$A$7:$B$13, 2, FALSE), 0)</f>
        <v>0</v>
      </c>
      <c r="B4" s="32">
        <f>IF(Monster!D6 &lt;&gt; 0, VLOOKUP(Monster!D6, Attacks!$A$7:$B$13, 2, FALSE), 0)</f>
        <v>0</v>
      </c>
      <c r="C4" s="32">
        <f>IF(Monster!E6 &lt;&gt; 0, VLOOKUP(Monster!E6, Attacks!$A$7:$B$13, 2, FALSE), 0)</f>
        <v>0</v>
      </c>
      <c r="D4" s="32">
        <f>IF(Monster!F6 &lt;&gt; 0, VLOOKUP(Monster!F6, Attacks!$A$7:$B$13, 2, FALSE), 0)</f>
        <v>0</v>
      </c>
      <c r="E4" s="32">
        <f>IF(Monster!G6 &lt;&gt; 0, VLOOKUP(Monster!G6, Attacks!$A$7:$B$13, 2, FALSE), 0)</f>
        <v>0</v>
      </c>
      <c r="F4" s="32">
        <f>IF(Monster!H6 &lt;&gt; 0, VLOOKUP(Monster!H6, Attacks!$A$7:$B$13, 2, FALSE), 0)</f>
        <v>0</v>
      </c>
      <c r="G4" s="32">
        <f>IF(Monster!I6 &lt;&gt; 0, VLOOKUP(Monster!I6, Attacks!$A$7:$B$13, 2, FALSE), 0)</f>
        <v>0</v>
      </c>
    </row>
    <row r="6" spans="1:10" x14ac:dyDescent="0.25">
      <c r="A6" s="28" t="s">
        <v>153</v>
      </c>
      <c r="B6" s="15" t="s">
        <v>23</v>
      </c>
      <c r="D6" s="15" t="s">
        <v>128</v>
      </c>
    </row>
    <row r="7" spans="1:10" x14ac:dyDescent="0.25">
      <c r="A7" s="16">
        <f>Monster!B12</f>
        <v>0</v>
      </c>
      <c r="B7" s="16">
        <f>Monster!A13</f>
        <v>3</v>
      </c>
      <c r="D7" t="s">
        <v>31</v>
      </c>
    </row>
    <row r="8" spans="1:10" x14ac:dyDescent="0.25">
      <c r="A8" s="16">
        <f>Monster!B16</f>
        <v>0</v>
      </c>
      <c r="B8" s="16">
        <f>Monster!A17</f>
        <v>3</v>
      </c>
      <c r="D8" t="s">
        <v>32</v>
      </c>
    </row>
    <row r="9" spans="1:10" x14ac:dyDescent="0.25">
      <c r="A9" s="16">
        <f>Monster!B20</f>
        <v>0</v>
      </c>
      <c r="B9" s="16">
        <f>Monster!A21</f>
        <v>3</v>
      </c>
    </row>
    <row r="10" spans="1:10" x14ac:dyDescent="0.25">
      <c r="A10" s="16">
        <f>Monster!B24</f>
        <v>0</v>
      </c>
      <c r="B10" s="16">
        <f>Monster!A25</f>
        <v>3</v>
      </c>
    </row>
    <row r="11" spans="1:10" x14ac:dyDescent="0.25">
      <c r="A11" s="16">
        <f>Monster!B28</f>
        <v>0</v>
      </c>
      <c r="B11" s="16">
        <f>Monster!A29</f>
        <v>3</v>
      </c>
    </row>
    <row r="12" spans="1:10" x14ac:dyDescent="0.25">
      <c r="A12" s="16">
        <f>Monster!B32</f>
        <v>0</v>
      </c>
      <c r="B12" s="16">
        <f>Monster!A33</f>
        <v>3</v>
      </c>
    </row>
    <row r="13" spans="1:10" x14ac:dyDescent="0.25">
      <c r="A13" s="29">
        <f>Monster!B36</f>
        <v>0</v>
      </c>
      <c r="B13" s="16">
        <f>Monster!A37</f>
        <v>3</v>
      </c>
    </row>
    <row r="15" spans="1:10" x14ac:dyDescent="0.25">
      <c r="A15" s="69" t="s">
        <v>295</v>
      </c>
      <c r="B15" s="69" t="s">
        <v>296</v>
      </c>
      <c r="C15" s="69" t="s">
        <v>305</v>
      </c>
      <c r="D15" s="69" t="s">
        <v>24</v>
      </c>
      <c r="E15" s="69" t="s">
        <v>306</v>
      </c>
      <c r="F15" s="69" t="s">
        <v>307</v>
      </c>
      <c r="G15" s="69" t="s">
        <v>308</v>
      </c>
      <c r="H15" s="69" t="s">
        <v>166</v>
      </c>
      <c r="I15" s="69" t="s">
        <v>297</v>
      </c>
      <c r="J15" s="69" t="s">
        <v>311</v>
      </c>
    </row>
    <row r="16" spans="1:10" x14ac:dyDescent="0.25">
      <c r="A16" s="69" t="s">
        <v>298</v>
      </c>
      <c r="B16">
        <f>Monster!B12</f>
        <v>0</v>
      </c>
      <c r="C16">
        <f>Monster!A13</f>
        <v>3</v>
      </c>
      <c r="D16">
        <f>Monster!B13</f>
        <v>1</v>
      </c>
      <c r="E16" t="str">
        <f>Monster!C13</f>
        <v>d6</v>
      </c>
      <c r="F16" s="53">
        <f>Monster!E13</f>
        <v>0</v>
      </c>
      <c r="G16" s="53" t="str">
        <f>Monster!F13</f>
        <v>Bludgeoning</v>
      </c>
      <c r="H16" t="str">
        <f>Monster!D14</f>
        <v>Melee</v>
      </c>
      <c r="I16" s="53" t="str">
        <f>IF(B16&gt;0,_xlfn.CONCAT(C16, " (", D16, E16, IF(F16&gt;0, _xlfn.CONCAT(" + ", F16), IF(F16&lt;0, _xlfn.CONCAT(" - ", ABS(F16)), "")), ") ", LOWER(G16), " damage"),"")</f>
        <v/>
      </c>
      <c r="J16" t="str">
        <f>_xlfn.CONCAT(LOWER(Monster!G14), " ", Monster!H14, " ft.")</f>
        <v>reach  ft.</v>
      </c>
    </row>
    <row r="17" spans="1:10" x14ac:dyDescent="0.25">
      <c r="A17" s="69" t="s">
        <v>299</v>
      </c>
      <c r="B17">
        <f>Monster!B16</f>
        <v>0</v>
      </c>
      <c r="C17">
        <f>Monster!A17</f>
        <v>3</v>
      </c>
      <c r="D17" s="53">
        <f>Monster!B17</f>
        <v>1</v>
      </c>
      <c r="E17" s="53" t="str">
        <f>Monster!C17</f>
        <v>d6</v>
      </c>
      <c r="F17" s="53">
        <f>Monster!E17</f>
        <v>0</v>
      </c>
      <c r="G17" s="53" t="str">
        <f>Monster!F17</f>
        <v>Bludgeoning</v>
      </c>
      <c r="H17" s="53" t="str">
        <f>Monster!D18</f>
        <v>Melee</v>
      </c>
      <c r="I17" s="53" t="str">
        <f t="shared" ref="I17:I22" si="0">IF(B17&gt;0,_xlfn.CONCAT(C17, " (", D17, E17, IF(F17&gt;0, _xlfn.CONCAT(" + ", F17), IF(F17&lt;0, _xlfn.CONCAT(" - ", ABS(F17)), "")), ") ", LOWER(G17), " damage"),"")</f>
        <v/>
      </c>
      <c r="J17" s="53" t="str">
        <f>_xlfn.CONCAT(LOWER(Monster!G18), " ", Monster!H18, " ft.")</f>
        <v>reach  ft.</v>
      </c>
    </row>
    <row r="18" spans="1:10" x14ac:dyDescent="0.25">
      <c r="A18" s="69" t="s">
        <v>300</v>
      </c>
      <c r="B18">
        <f>Monster!B20</f>
        <v>0</v>
      </c>
      <c r="C18" s="53">
        <f>Monster!A21</f>
        <v>3</v>
      </c>
      <c r="D18" s="53">
        <f>Monster!B21</f>
        <v>1</v>
      </c>
      <c r="E18" s="53" t="str">
        <f>Monster!C21</f>
        <v>d6</v>
      </c>
      <c r="F18" s="53">
        <f>Monster!E21</f>
        <v>0</v>
      </c>
      <c r="G18" s="53" t="str">
        <f>Monster!F21</f>
        <v>Bludgeoning</v>
      </c>
      <c r="H18" s="53" t="str">
        <f>Monster!D22</f>
        <v>Melee</v>
      </c>
      <c r="I18" s="53" t="str">
        <f t="shared" si="0"/>
        <v/>
      </c>
      <c r="J18" s="53" t="str">
        <f>_xlfn.CONCAT(LOWER(Monster!G22), " ", Monster!H22, " ft.")</f>
        <v>reach  ft.</v>
      </c>
    </row>
    <row r="19" spans="1:10" x14ac:dyDescent="0.25">
      <c r="A19" s="69" t="s">
        <v>301</v>
      </c>
      <c r="B19">
        <f>Monster!B24</f>
        <v>0</v>
      </c>
      <c r="C19" s="53">
        <f>Monster!A25</f>
        <v>3</v>
      </c>
      <c r="D19" s="53">
        <f>Monster!B25</f>
        <v>1</v>
      </c>
      <c r="E19" s="53" t="str">
        <f>Monster!C25</f>
        <v>d6</v>
      </c>
      <c r="F19" s="53">
        <f>Monster!E25</f>
        <v>0</v>
      </c>
      <c r="G19" s="53" t="str">
        <f>Monster!F25</f>
        <v>Bludgeoning</v>
      </c>
      <c r="H19" s="53" t="str">
        <f>Monster!D26</f>
        <v>Melee</v>
      </c>
      <c r="I19" s="53" t="str">
        <f t="shared" si="0"/>
        <v/>
      </c>
      <c r="J19" s="53" t="str">
        <f>_xlfn.CONCAT(LOWER(Monster!G26), " ", Monster!H26, " ft.")</f>
        <v>reach  ft.</v>
      </c>
    </row>
    <row r="20" spans="1:10" x14ac:dyDescent="0.25">
      <c r="A20" s="69" t="s">
        <v>302</v>
      </c>
      <c r="B20">
        <f>Monster!B28</f>
        <v>0</v>
      </c>
      <c r="C20" s="53">
        <f>Monster!A29</f>
        <v>3</v>
      </c>
      <c r="D20" s="53">
        <f>Monster!B29</f>
        <v>1</v>
      </c>
      <c r="E20" s="53" t="str">
        <f>Monster!C29</f>
        <v>d6</v>
      </c>
      <c r="F20" s="53">
        <f>Monster!E29</f>
        <v>0</v>
      </c>
      <c r="G20" s="53" t="str">
        <f>Monster!F29</f>
        <v>Bludgeoning</v>
      </c>
      <c r="H20" s="53" t="str">
        <f>Monster!D30</f>
        <v>Melee</v>
      </c>
      <c r="I20" s="53" t="str">
        <f t="shared" si="0"/>
        <v/>
      </c>
      <c r="J20" s="53" t="str">
        <f>_xlfn.CONCAT(LOWER(Monster!G30), " ", Monster!H30, " ft.")</f>
        <v>reach  ft.</v>
      </c>
    </row>
    <row r="21" spans="1:10" x14ac:dyDescent="0.25">
      <c r="A21" s="69" t="s">
        <v>303</v>
      </c>
      <c r="B21" s="53">
        <f>Monster!B32</f>
        <v>0</v>
      </c>
      <c r="C21" s="53">
        <f>Monster!A33</f>
        <v>3</v>
      </c>
      <c r="D21" s="53">
        <f>Monster!B33</f>
        <v>1</v>
      </c>
      <c r="E21" s="53" t="str">
        <f>Monster!C33</f>
        <v>d6</v>
      </c>
      <c r="F21" s="53">
        <f>Monster!E33</f>
        <v>0</v>
      </c>
      <c r="G21" s="53" t="str">
        <f>Monster!F33</f>
        <v>Bludgeoning</v>
      </c>
      <c r="H21" s="53" t="str">
        <f>Monster!D34</f>
        <v>Melee</v>
      </c>
      <c r="I21" s="53" t="str">
        <f t="shared" si="0"/>
        <v/>
      </c>
      <c r="J21" s="53" t="str">
        <f>_xlfn.CONCAT(LOWER(Monster!G34), " ", Monster!H34, " ft.")</f>
        <v>reach  ft.</v>
      </c>
    </row>
    <row r="22" spans="1:10" x14ac:dyDescent="0.25">
      <c r="A22" s="69" t="s">
        <v>304</v>
      </c>
      <c r="B22" s="53">
        <f>Monster!B36</f>
        <v>0</v>
      </c>
      <c r="C22" s="53">
        <f>Monster!A37</f>
        <v>3</v>
      </c>
      <c r="D22" s="53">
        <f>Monster!B37</f>
        <v>1</v>
      </c>
      <c r="E22" s="53" t="str">
        <f>Monster!C37</f>
        <v>d6</v>
      </c>
      <c r="F22" s="53">
        <f>Monster!E37</f>
        <v>0</v>
      </c>
      <c r="G22" s="53" t="str">
        <f>Monster!F37</f>
        <v>Bludgeoning</v>
      </c>
      <c r="H22" s="53" t="str">
        <f>Monster!D38</f>
        <v>Melee</v>
      </c>
      <c r="I22" s="53" t="str">
        <f t="shared" si="0"/>
        <v/>
      </c>
      <c r="J22" s="53" t="str">
        <f>_xlfn.CONCAT(LOWER(Monster!G38), " ", Monster!H38, " ft.")</f>
        <v>reach  ft.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8DBC-FEB5-44F3-8337-87CC823A2FB7}">
  <dimension ref="A1:C8"/>
  <sheetViews>
    <sheetView workbookViewId="0">
      <selection activeCell="B8" sqref="B8"/>
    </sheetView>
  </sheetViews>
  <sheetFormatPr defaultRowHeight="15" x14ac:dyDescent="0.25"/>
  <sheetData>
    <row r="1" spans="1:3" x14ac:dyDescent="0.25">
      <c r="B1" t="s">
        <v>293</v>
      </c>
      <c r="C1" t="s">
        <v>293</v>
      </c>
    </row>
    <row r="2" spans="1:3" x14ac:dyDescent="0.25">
      <c r="A2" s="28" t="s">
        <v>288</v>
      </c>
      <c r="B2">
        <f>Monster!L22</f>
        <v>30</v>
      </c>
      <c r="C2" t="str">
        <f>_xlfn.TEXTJOIN(" ", TRUE, A2, B2, "ft.")</f>
        <v>Walk 30 ft.</v>
      </c>
    </row>
    <row r="3" spans="1:3" x14ac:dyDescent="0.25">
      <c r="A3" s="28" t="s">
        <v>289</v>
      </c>
      <c r="B3" s="53">
        <f>Monster!L23</f>
        <v>0</v>
      </c>
      <c r="C3" s="53" t="str">
        <f t="shared" ref="C3:C6" si="0">_xlfn.TEXTJOIN(" ", TRUE, A3, B3, "ft.")</f>
        <v>Fly 0 ft.</v>
      </c>
    </row>
    <row r="4" spans="1:3" x14ac:dyDescent="0.25">
      <c r="A4" s="28" t="s">
        <v>290</v>
      </c>
      <c r="B4" s="53">
        <f>Monster!L24</f>
        <v>0</v>
      </c>
      <c r="C4" s="53" t="str">
        <f t="shared" si="0"/>
        <v>Burrow 0 ft.</v>
      </c>
    </row>
    <row r="5" spans="1:3" x14ac:dyDescent="0.25">
      <c r="A5" s="28" t="s">
        <v>291</v>
      </c>
      <c r="B5" s="53">
        <f>Monster!L25</f>
        <v>0</v>
      </c>
      <c r="C5" s="53" t="str">
        <f t="shared" si="0"/>
        <v>Climb 0 ft.</v>
      </c>
    </row>
    <row r="6" spans="1:3" x14ac:dyDescent="0.25">
      <c r="A6" s="28" t="s">
        <v>292</v>
      </c>
      <c r="B6" s="53">
        <f>Monster!L26</f>
        <v>0</v>
      </c>
      <c r="C6" s="53" t="str">
        <f t="shared" si="0"/>
        <v>Swim 0 ft.</v>
      </c>
    </row>
    <row r="8" spans="1:3" x14ac:dyDescent="0.25">
      <c r="A8" s="28" t="s">
        <v>294</v>
      </c>
      <c r="B8" t="str" cm="1">
        <f t="array" ref="B8">_xlfn.TEXTJOIN(", ", TRUE, IF(B2:B6&gt;0, C2:C6, ""))</f>
        <v>Walk 30 ft.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A403-A338-4D95-A4F2-67D21418D4D7}">
  <dimension ref="A1:H21"/>
  <sheetViews>
    <sheetView workbookViewId="0">
      <selection activeCell="D26" sqref="D26"/>
    </sheetView>
  </sheetViews>
  <sheetFormatPr defaultRowHeight="15" x14ac:dyDescent="0.25"/>
  <cols>
    <col min="1" max="1" width="15.7109375" style="53" bestFit="1" customWidth="1"/>
    <col min="2" max="2" width="16.85546875" style="53" bestFit="1" customWidth="1"/>
    <col min="3" max="3" width="16.85546875" style="53" customWidth="1"/>
    <col min="4" max="4" width="6.7109375" style="53" customWidth="1"/>
    <col min="5" max="5" width="9.7109375" style="53" bestFit="1" customWidth="1"/>
    <col min="6" max="6" width="6.7109375" style="53" bestFit="1" customWidth="1"/>
    <col min="7" max="7" width="5.42578125" style="53" bestFit="1" customWidth="1"/>
    <col min="8" max="8" width="18.7109375" style="53" bestFit="1" customWidth="1"/>
    <col min="9" max="16384" width="9.140625" style="53"/>
  </cols>
  <sheetData>
    <row r="1" spans="1:8" x14ac:dyDescent="0.25">
      <c r="A1" s="69" t="s">
        <v>280</v>
      </c>
      <c r="B1" s="69" t="s">
        <v>259</v>
      </c>
      <c r="C1" s="69" t="s">
        <v>279</v>
      </c>
      <c r="D1" s="69" t="s">
        <v>287</v>
      </c>
      <c r="E1" s="69" t="s">
        <v>258</v>
      </c>
      <c r="F1" s="69" t="s">
        <v>257</v>
      </c>
      <c r="G1" s="69" t="s">
        <v>132</v>
      </c>
      <c r="H1" s="69" t="s">
        <v>286</v>
      </c>
    </row>
    <row r="2" spans="1:8" x14ac:dyDescent="0.25">
      <c r="A2" s="51" t="s">
        <v>277</v>
      </c>
      <c r="B2" s="53">
        <f>Monster!$T$27</f>
        <v>2</v>
      </c>
      <c r="C2" s="53" t="s">
        <v>117</v>
      </c>
      <c r="D2" s="53">
        <f>VLOOKUP($C2,Monster!$T$3:$V$8,3,FALSE)</f>
        <v>0</v>
      </c>
      <c r="E2" s="71" t="str">
        <f>Monster!P36</f>
        <v>No</v>
      </c>
      <c r="F2" s="71" t="str">
        <f>Monster!Q36</f>
        <v>No</v>
      </c>
      <c r="G2" s="53">
        <f>D2+IF(E2="Yes",B2,0)+IF(F2="Yes",B2,0)</f>
        <v>0</v>
      </c>
      <c r="H2" s="53" t="str">
        <f>_xlfn.CONCAT(A2, IF(G2&gt;0," + "," - "), ABS(G2))</f>
        <v>Acrobatics - 0</v>
      </c>
    </row>
    <row r="3" spans="1:8" x14ac:dyDescent="0.25">
      <c r="A3" s="51" t="s">
        <v>269</v>
      </c>
      <c r="B3" s="53">
        <f>Monster!$T$27</f>
        <v>2</v>
      </c>
      <c r="C3" s="53" t="s">
        <v>119</v>
      </c>
      <c r="D3" s="53">
        <f>VLOOKUP($C3,Monster!$T$3:$V$8,3,FALSE)</f>
        <v>0</v>
      </c>
      <c r="E3" s="71" t="str">
        <f>Monster!P37</f>
        <v>No</v>
      </c>
      <c r="F3" s="71" t="str">
        <f>Monster!Q37</f>
        <v>No</v>
      </c>
      <c r="G3" s="53">
        <f>D3+IF(E3="Yes",B3,0)+IF(F3="Yes",B3,0)</f>
        <v>0</v>
      </c>
      <c r="H3" s="53" t="str">
        <f t="shared" ref="H3:H19" si="0">_xlfn.CONCAT(A3, IF(G3&gt;0," + "," - "), ABS(G3))</f>
        <v>Animal Handling - 0</v>
      </c>
    </row>
    <row r="4" spans="1:8" x14ac:dyDescent="0.25">
      <c r="A4" s="51" t="s">
        <v>274</v>
      </c>
      <c r="B4" s="53">
        <f>Monster!$T$27</f>
        <v>2</v>
      </c>
      <c r="C4" s="53" t="s">
        <v>118</v>
      </c>
      <c r="D4" s="53">
        <f>VLOOKUP($C4,Monster!$T$3:$V$8,3,FALSE)</f>
        <v>0</v>
      </c>
      <c r="E4" s="71" t="str">
        <f>Monster!P38</f>
        <v>No</v>
      </c>
      <c r="F4" s="71" t="str">
        <f>Monster!Q38</f>
        <v>No</v>
      </c>
      <c r="G4" s="53">
        <f>D4+IF(E4="Yes",B4,0)+IF(F4="Yes",B4,0)</f>
        <v>0</v>
      </c>
      <c r="H4" s="53" t="str">
        <f t="shared" si="0"/>
        <v>Arcana - 0</v>
      </c>
    </row>
    <row r="5" spans="1:8" x14ac:dyDescent="0.25">
      <c r="A5" s="51" t="s">
        <v>278</v>
      </c>
      <c r="B5" s="53">
        <f>Monster!$T$27</f>
        <v>2</v>
      </c>
      <c r="C5" s="53" t="s">
        <v>116</v>
      </c>
      <c r="D5" s="53">
        <f>VLOOKUP($C5,Monster!$T$3:$V$8,3,FALSE)</f>
        <v>0</v>
      </c>
      <c r="E5" s="71" t="str">
        <f>Monster!P39</f>
        <v>No</v>
      </c>
      <c r="F5" s="71" t="str">
        <f>Monster!Q39</f>
        <v>No</v>
      </c>
      <c r="G5" s="53">
        <f>D5+IF(E5="Yes",B5,0)+IF(F5="Yes",B5,0)</f>
        <v>0</v>
      </c>
      <c r="H5" s="53" t="str">
        <f t="shared" si="0"/>
        <v>Athletics - 0</v>
      </c>
    </row>
    <row r="6" spans="1:8" x14ac:dyDescent="0.25">
      <c r="A6" s="51" t="s">
        <v>264</v>
      </c>
      <c r="B6" s="53">
        <f>Monster!$T$27</f>
        <v>2</v>
      </c>
      <c r="C6" s="53" t="s">
        <v>120</v>
      </c>
      <c r="D6" s="53">
        <f>VLOOKUP($C6,Monster!$T$3:$V$8,3,FALSE)</f>
        <v>0</v>
      </c>
      <c r="E6" s="71" t="str">
        <f>Monster!P40</f>
        <v>No</v>
      </c>
      <c r="F6" s="71" t="str">
        <f>Monster!Q40</f>
        <v>No</v>
      </c>
      <c r="G6" s="53">
        <f>D6+IF(E6="Yes",B6,0)+IF(F6="Yes",B6,0)</f>
        <v>0</v>
      </c>
      <c r="H6" s="53" t="str">
        <f t="shared" si="0"/>
        <v>Deception - 0</v>
      </c>
    </row>
    <row r="7" spans="1:8" x14ac:dyDescent="0.25">
      <c r="A7" s="51" t="s">
        <v>273</v>
      </c>
      <c r="B7" s="53">
        <f>Monster!$T$27</f>
        <v>2</v>
      </c>
      <c r="C7" s="53" t="s">
        <v>118</v>
      </c>
      <c r="D7" s="53">
        <f>VLOOKUP($C7,Monster!$T$3:$V$8,3,FALSE)</f>
        <v>0</v>
      </c>
      <c r="E7" s="71" t="str">
        <f>Monster!P41</f>
        <v>No</v>
      </c>
      <c r="F7" s="71" t="str">
        <f>Monster!Q41</f>
        <v>No</v>
      </c>
      <c r="G7" s="53">
        <f>D7+IF(E7="Yes",B7,0)+IF(F7="Yes",B7,0)</f>
        <v>0</v>
      </c>
      <c r="H7" s="53" t="str">
        <f t="shared" si="0"/>
        <v>History - 0</v>
      </c>
    </row>
    <row r="8" spans="1:8" x14ac:dyDescent="0.25">
      <c r="A8" s="51" t="s">
        <v>268</v>
      </c>
      <c r="B8" s="53">
        <f>Monster!$T$27</f>
        <v>2</v>
      </c>
      <c r="C8" s="53" t="s">
        <v>119</v>
      </c>
      <c r="D8" s="53">
        <f>VLOOKUP($C8,Monster!$T$3:$V$8,3,FALSE)</f>
        <v>0</v>
      </c>
      <c r="E8" s="71" t="str">
        <f>Monster!P42</f>
        <v>No</v>
      </c>
      <c r="F8" s="71" t="str">
        <f>Monster!Q42</f>
        <v>No</v>
      </c>
      <c r="G8" s="53">
        <f>D8+IF(E8="Yes",B8,0)+IF(F8="Yes",B8,0)</f>
        <v>0</v>
      </c>
      <c r="H8" s="53" t="str">
        <f t="shared" si="0"/>
        <v>Insight - 0</v>
      </c>
    </row>
    <row r="9" spans="1:8" x14ac:dyDescent="0.25">
      <c r="A9" s="51" t="s">
        <v>263</v>
      </c>
      <c r="B9" s="53">
        <f>Monster!$T$27</f>
        <v>2</v>
      </c>
      <c r="C9" s="53" t="s">
        <v>120</v>
      </c>
      <c r="D9" s="53">
        <f>VLOOKUP($C9,Monster!$T$3:$V$8,3,FALSE)</f>
        <v>0</v>
      </c>
      <c r="E9" s="71" t="str">
        <f>Monster!P43</f>
        <v>No</v>
      </c>
      <c r="F9" s="71" t="str">
        <f>Monster!Q43</f>
        <v>No</v>
      </c>
      <c r="G9" s="53">
        <f>D9+IF(E9="Yes",B9,0)+IF(F9="Yes",B9,0)</f>
        <v>0</v>
      </c>
      <c r="H9" s="53" t="str">
        <f t="shared" si="0"/>
        <v>Intimidation - 0</v>
      </c>
    </row>
    <row r="10" spans="1:8" x14ac:dyDescent="0.25">
      <c r="A10" s="51" t="s">
        <v>272</v>
      </c>
      <c r="B10" s="53">
        <f>Monster!$T$27</f>
        <v>2</v>
      </c>
      <c r="C10" s="53" t="s">
        <v>118</v>
      </c>
      <c r="D10" s="53">
        <f>VLOOKUP($C10,Monster!$T$3:$V$8,3,FALSE)</f>
        <v>0</v>
      </c>
      <c r="E10" s="71" t="str">
        <f>Monster!P44</f>
        <v>No</v>
      </c>
      <c r="F10" s="71" t="str">
        <f>Monster!Q44</f>
        <v>No</v>
      </c>
      <c r="G10" s="53">
        <f>D10+IF(E10="Yes",B10,0)+IF(F10="Yes",B10,0)</f>
        <v>0</v>
      </c>
      <c r="H10" s="53" t="str">
        <f t="shared" si="0"/>
        <v>Investigation - 0</v>
      </c>
    </row>
    <row r="11" spans="1:8" x14ac:dyDescent="0.25">
      <c r="A11" s="51" t="s">
        <v>267</v>
      </c>
      <c r="B11" s="53">
        <f>Monster!$T$27</f>
        <v>2</v>
      </c>
      <c r="C11" s="53" t="s">
        <v>119</v>
      </c>
      <c r="D11" s="53">
        <f>VLOOKUP($C11,Monster!$T$3:$V$8,3,FALSE)</f>
        <v>0</v>
      </c>
      <c r="E11" s="71" t="str">
        <f>Monster!P45</f>
        <v>No</v>
      </c>
      <c r="F11" s="71" t="str">
        <f>Monster!Q45</f>
        <v>No</v>
      </c>
      <c r="G11" s="53">
        <f>D11+IF(E11="Yes",B11,0)+IF(F11="Yes",B11,0)</f>
        <v>0</v>
      </c>
      <c r="H11" s="53" t="str">
        <f t="shared" si="0"/>
        <v>Medicine - 0</v>
      </c>
    </row>
    <row r="12" spans="1:8" x14ac:dyDescent="0.25">
      <c r="A12" s="51" t="s">
        <v>271</v>
      </c>
      <c r="B12" s="53">
        <f>Monster!$T$27</f>
        <v>2</v>
      </c>
      <c r="C12" s="53" t="s">
        <v>118</v>
      </c>
      <c r="D12" s="53">
        <f>VLOOKUP($C12,Monster!$T$3:$V$8,3,FALSE)</f>
        <v>0</v>
      </c>
      <c r="E12" s="71" t="str">
        <f>Monster!P46</f>
        <v>No</v>
      </c>
      <c r="F12" s="71" t="str">
        <f>Monster!Q46</f>
        <v>No</v>
      </c>
      <c r="G12" s="53">
        <f>D12+IF(E12="Yes",B12,0)+IF(F12="Yes",B12,0)</f>
        <v>0</v>
      </c>
      <c r="H12" s="53" t="str">
        <f t="shared" si="0"/>
        <v>Nature - 0</v>
      </c>
    </row>
    <row r="13" spans="1:8" x14ac:dyDescent="0.25">
      <c r="A13" s="51" t="s">
        <v>266</v>
      </c>
      <c r="B13" s="53">
        <f>Monster!$T$27</f>
        <v>2</v>
      </c>
      <c r="C13" s="53" t="s">
        <v>119</v>
      </c>
      <c r="D13" s="53">
        <f>VLOOKUP($C13,Monster!$T$3:$V$8,3,FALSE)</f>
        <v>0</v>
      </c>
      <c r="E13" s="71" t="str">
        <f>Monster!P47</f>
        <v>No</v>
      </c>
      <c r="F13" s="71" t="str">
        <f>Monster!Q47</f>
        <v>No</v>
      </c>
      <c r="G13" s="53">
        <f>D13+IF(E13="Yes",B13,0)+IF(F13="Yes",B13,0)</f>
        <v>0</v>
      </c>
      <c r="H13" s="53" t="str">
        <f t="shared" si="0"/>
        <v>Perception - 0</v>
      </c>
    </row>
    <row r="14" spans="1:8" x14ac:dyDescent="0.25">
      <c r="A14" s="51" t="s">
        <v>262</v>
      </c>
      <c r="B14" s="53">
        <f>Monster!$T$27</f>
        <v>2</v>
      </c>
      <c r="C14" s="53" t="s">
        <v>120</v>
      </c>
      <c r="D14" s="53">
        <f>VLOOKUP($C14,Monster!$T$3:$V$8,3,FALSE)</f>
        <v>0</v>
      </c>
      <c r="E14" s="71" t="str">
        <f>Monster!P48</f>
        <v>No</v>
      </c>
      <c r="F14" s="71" t="str">
        <f>Monster!Q48</f>
        <v>No</v>
      </c>
      <c r="G14" s="53">
        <f>D14+IF(E14="Yes",B14,0)+IF(F14="Yes",B14,0)</f>
        <v>0</v>
      </c>
      <c r="H14" s="53" t="str">
        <f t="shared" si="0"/>
        <v>Performance - 0</v>
      </c>
    </row>
    <row r="15" spans="1:8" x14ac:dyDescent="0.25">
      <c r="A15" s="51" t="s">
        <v>261</v>
      </c>
      <c r="B15" s="53">
        <f>Monster!$T$27</f>
        <v>2</v>
      </c>
      <c r="C15" s="53" t="s">
        <v>120</v>
      </c>
      <c r="D15" s="53">
        <f>VLOOKUP($C15,Monster!$T$3:$V$8,3,FALSE)</f>
        <v>0</v>
      </c>
      <c r="E15" s="71" t="str">
        <f>Monster!P49</f>
        <v>No</v>
      </c>
      <c r="F15" s="71" t="str">
        <f>Monster!Q49</f>
        <v>No</v>
      </c>
      <c r="G15" s="53">
        <f>D15+IF(E15="Yes",B15,0)+IF(F15="Yes",B15,0)</f>
        <v>0</v>
      </c>
      <c r="H15" s="53" t="str">
        <f t="shared" si="0"/>
        <v>Persuation - 0</v>
      </c>
    </row>
    <row r="16" spans="1:8" x14ac:dyDescent="0.25">
      <c r="A16" s="51" t="s">
        <v>270</v>
      </c>
      <c r="B16" s="53">
        <f>Monster!$T$27</f>
        <v>2</v>
      </c>
      <c r="C16" s="53" t="s">
        <v>118</v>
      </c>
      <c r="D16" s="53">
        <f>VLOOKUP($C16,Monster!$T$3:$V$8,3,FALSE)</f>
        <v>0</v>
      </c>
      <c r="E16" s="71" t="str">
        <f>Monster!P50</f>
        <v>No</v>
      </c>
      <c r="F16" s="71" t="str">
        <f>Monster!Q50</f>
        <v>No</v>
      </c>
      <c r="G16" s="53">
        <f>D16+IF(E16="Yes",B16,0)+IF(F16="Yes",B16,0)</f>
        <v>0</v>
      </c>
      <c r="H16" s="53" t="str">
        <f t="shared" si="0"/>
        <v>Religion - 0</v>
      </c>
    </row>
    <row r="17" spans="1:8" x14ac:dyDescent="0.25">
      <c r="A17" s="51" t="s">
        <v>276</v>
      </c>
      <c r="B17" s="53">
        <f>Monster!$T$27</f>
        <v>2</v>
      </c>
      <c r="C17" s="53" t="s">
        <v>117</v>
      </c>
      <c r="D17" s="53">
        <f>VLOOKUP($C17,Monster!$T$3:$V$8,3,FALSE)</f>
        <v>0</v>
      </c>
      <c r="E17" s="71" t="str">
        <f>Monster!P51</f>
        <v>No</v>
      </c>
      <c r="F17" s="71" t="str">
        <f>Monster!Q51</f>
        <v>No</v>
      </c>
      <c r="G17" s="53">
        <f>D17+IF(E17="Yes",B17,0)+IF(F17="Yes",B17,0)</f>
        <v>0</v>
      </c>
      <c r="H17" s="53" t="str">
        <f t="shared" si="0"/>
        <v>Slight of Hand - 0</v>
      </c>
    </row>
    <row r="18" spans="1:8" x14ac:dyDescent="0.25">
      <c r="A18" s="51" t="s">
        <v>275</v>
      </c>
      <c r="B18" s="53">
        <f>Monster!$T$27</f>
        <v>2</v>
      </c>
      <c r="C18" s="53" t="s">
        <v>117</v>
      </c>
      <c r="D18" s="53">
        <f>VLOOKUP($C18,Monster!$T$3:$V$8,3,FALSE)</f>
        <v>0</v>
      </c>
      <c r="E18" s="71" t="str">
        <f>Monster!P52</f>
        <v>No</v>
      </c>
      <c r="F18" s="71" t="str">
        <f>Monster!Q52</f>
        <v>No</v>
      </c>
      <c r="G18" s="53">
        <f>D18+IF(E18="Yes",B18,0)+IF(F18="Yes",B18,0)</f>
        <v>0</v>
      </c>
      <c r="H18" s="53" t="str">
        <f t="shared" si="0"/>
        <v>Stealth - 0</v>
      </c>
    </row>
    <row r="19" spans="1:8" x14ac:dyDescent="0.25">
      <c r="A19" s="51" t="s">
        <v>265</v>
      </c>
      <c r="B19" s="53">
        <f>Monster!$T$27</f>
        <v>2</v>
      </c>
      <c r="C19" s="53" t="s">
        <v>119</v>
      </c>
      <c r="D19" s="53">
        <f>VLOOKUP($C19,Monster!$T$3:$V$8,3,FALSE)</f>
        <v>0</v>
      </c>
      <c r="E19" s="71" t="str">
        <f>Monster!P53</f>
        <v>No</v>
      </c>
      <c r="F19" s="71" t="str">
        <f>Monster!Q53</f>
        <v>No</v>
      </c>
      <c r="G19" s="53">
        <f>D19+IF(E19="Yes",B19,0)+IF(F19="Yes",B19,0)</f>
        <v>0</v>
      </c>
      <c r="H19" s="53" t="str">
        <f t="shared" si="0"/>
        <v>Survival - 0</v>
      </c>
    </row>
    <row r="21" spans="1:8" x14ac:dyDescent="0.25">
      <c r="A21" s="74" t="s">
        <v>280</v>
      </c>
      <c r="B21" s="53" t="str" cm="1">
        <f t="array" ref="B21">_xlfn.TEXTJOIN(", ", TRUE, IF(G2:G19&lt;&gt;D2:D19,H2:H19,""))</f>
        <v/>
      </c>
    </row>
  </sheetData>
  <sortState xmlns:xlrd2="http://schemas.microsoft.com/office/spreadsheetml/2017/richdata2" ref="A2:A19">
    <sortCondition ref="A2:A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A8C7D-0411-4FF0-A9F4-B3F193FECCB8}">
  <dimension ref="A1:G9"/>
  <sheetViews>
    <sheetView workbookViewId="0">
      <selection activeCell="B10" sqref="B10"/>
    </sheetView>
  </sheetViews>
  <sheetFormatPr defaultRowHeight="15" x14ac:dyDescent="0.25"/>
  <cols>
    <col min="1" max="1" width="9.140625" style="53"/>
    <col min="2" max="2" width="10.28515625" style="53" bestFit="1" customWidth="1"/>
    <col min="3" max="3" width="16.85546875" style="53" bestFit="1" customWidth="1"/>
    <col min="4" max="4" width="9.7109375" style="53" bestFit="1" customWidth="1"/>
    <col min="5" max="5" width="6.7109375" style="53" bestFit="1" customWidth="1"/>
    <col min="6" max="16384" width="9.140625" style="53"/>
  </cols>
  <sheetData>
    <row r="1" spans="1:7" x14ac:dyDescent="0.25">
      <c r="B1" s="53" t="s">
        <v>260</v>
      </c>
      <c r="C1" s="53" t="s">
        <v>259</v>
      </c>
      <c r="D1" s="53" t="s">
        <v>258</v>
      </c>
      <c r="E1" s="53" t="s">
        <v>257</v>
      </c>
      <c r="F1" s="53" t="s">
        <v>132</v>
      </c>
      <c r="G1" s="53" t="s">
        <v>256</v>
      </c>
    </row>
    <row r="2" spans="1:7" x14ac:dyDescent="0.25">
      <c r="A2" s="69" t="s">
        <v>116</v>
      </c>
      <c r="B2" s="53">
        <f>Monster!V3</f>
        <v>0</v>
      </c>
      <c r="C2" s="53">
        <f>Monster!$T$27</f>
        <v>2</v>
      </c>
      <c r="D2" s="71" t="str">
        <f>Monster!W3</f>
        <v>No</v>
      </c>
      <c r="E2" s="71" t="str">
        <f>Monster!X3</f>
        <v>No</v>
      </c>
      <c r="F2" s="53">
        <f t="shared" ref="F2:F7" si="0">B2+IF(D2="Yes",C2,0)+IF(E2="Yes",C2,0)</f>
        <v>0</v>
      </c>
      <c r="G2" s="53" t="str">
        <f t="shared" ref="G2:G7" si="1">_xlfn.CONCAT(UPPER(A2), " + ", F2)</f>
        <v>STR + 0</v>
      </c>
    </row>
    <row r="3" spans="1:7" x14ac:dyDescent="0.25">
      <c r="A3" s="69" t="s">
        <v>117</v>
      </c>
      <c r="B3" s="53">
        <f>Monster!V4</f>
        <v>0</v>
      </c>
      <c r="C3" s="53">
        <f>Monster!$T$27</f>
        <v>2</v>
      </c>
      <c r="D3" s="71" t="str">
        <f>Monster!W4</f>
        <v>No</v>
      </c>
      <c r="E3" s="71" t="str">
        <f>Monster!X4</f>
        <v>No</v>
      </c>
      <c r="F3" s="53">
        <f t="shared" si="0"/>
        <v>0</v>
      </c>
      <c r="G3" s="53" t="str">
        <f t="shared" si="1"/>
        <v>DEX + 0</v>
      </c>
    </row>
    <row r="4" spans="1:7" x14ac:dyDescent="0.25">
      <c r="A4" s="69" t="s">
        <v>15</v>
      </c>
      <c r="B4" s="53">
        <f>Monster!V5</f>
        <v>0</v>
      </c>
      <c r="C4" s="53">
        <f>Monster!$T$27</f>
        <v>2</v>
      </c>
      <c r="D4" s="71" t="str">
        <f>Monster!W5</f>
        <v>No</v>
      </c>
      <c r="E4" s="71" t="str">
        <f>Monster!X5</f>
        <v>No</v>
      </c>
      <c r="F4" s="53">
        <f t="shared" si="0"/>
        <v>0</v>
      </c>
      <c r="G4" s="53" t="str">
        <f t="shared" si="1"/>
        <v>CON + 0</v>
      </c>
    </row>
    <row r="5" spans="1:7" x14ac:dyDescent="0.25">
      <c r="A5" s="69" t="s">
        <v>118</v>
      </c>
      <c r="B5" s="53">
        <f>Monster!V6</f>
        <v>0</v>
      </c>
      <c r="C5" s="53">
        <f>Monster!$T$27</f>
        <v>2</v>
      </c>
      <c r="D5" s="71" t="str">
        <f>Monster!W6</f>
        <v>No</v>
      </c>
      <c r="E5" s="71" t="str">
        <f>Monster!X6</f>
        <v>No</v>
      </c>
      <c r="F5" s="53">
        <f t="shared" si="0"/>
        <v>0</v>
      </c>
      <c r="G5" s="53" t="str">
        <f t="shared" si="1"/>
        <v>INT + 0</v>
      </c>
    </row>
    <row r="6" spans="1:7" x14ac:dyDescent="0.25">
      <c r="A6" s="69" t="s">
        <v>119</v>
      </c>
      <c r="B6" s="53">
        <f>Monster!V7</f>
        <v>0</v>
      </c>
      <c r="C6" s="53">
        <f>Monster!$T$27</f>
        <v>2</v>
      </c>
      <c r="D6" s="71" t="str">
        <f>Monster!W7</f>
        <v>No</v>
      </c>
      <c r="E6" s="71" t="str">
        <f>Monster!X7</f>
        <v>No</v>
      </c>
      <c r="F6" s="53">
        <f t="shared" si="0"/>
        <v>0</v>
      </c>
      <c r="G6" s="53" t="str">
        <f t="shared" si="1"/>
        <v>WIS + 0</v>
      </c>
    </row>
    <row r="7" spans="1:7" x14ac:dyDescent="0.25">
      <c r="A7" s="69" t="s">
        <v>120</v>
      </c>
      <c r="B7" s="53">
        <f>Monster!V8</f>
        <v>0</v>
      </c>
      <c r="C7" s="53">
        <f>Monster!$T$27</f>
        <v>2</v>
      </c>
      <c r="D7" s="71" t="str">
        <f>Monster!W8</f>
        <v>No</v>
      </c>
      <c r="E7" s="71" t="str">
        <f>Monster!X8</f>
        <v>No</v>
      </c>
      <c r="F7" s="53">
        <f t="shared" si="0"/>
        <v>0</v>
      </c>
      <c r="G7" s="53" t="str">
        <f t="shared" si="1"/>
        <v>CHA + 0</v>
      </c>
    </row>
    <row r="9" spans="1:7" x14ac:dyDescent="0.25">
      <c r="A9" s="69" t="s">
        <v>255</v>
      </c>
      <c r="B9" s="53" t="str" cm="1">
        <f t="array" ref="B9">_xlfn.TEXTJOIN(", ", TRUE, IF(F2:F7&gt;B2:B7,G2:G7,""))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B753-C79C-44CF-A378-4339D3CBD292}">
  <dimension ref="A1:L68"/>
  <sheetViews>
    <sheetView topLeftCell="A19" workbookViewId="0">
      <selection activeCell="M41" sqref="M41"/>
    </sheetView>
  </sheetViews>
  <sheetFormatPr defaultRowHeight="15" x14ac:dyDescent="0.25"/>
  <sheetData>
    <row r="1" spans="1:12" ht="45.75" thickBot="1" x14ac:dyDescent="0.3">
      <c r="A1" s="7" t="s">
        <v>30</v>
      </c>
      <c r="B1" s="1" t="s">
        <v>101</v>
      </c>
      <c r="C1" s="1" t="s">
        <v>102</v>
      </c>
      <c r="D1" s="1" t="s">
        <v>103</v>
      </c>
      <c r="E1" s="12" t="s">
        <v>104</v>
      </c>
      <c r="F1" s="8" t="s">
        <v>13</v>
      </c>
      <c r="G1" s="1" t="s">
        <v>105</v>
      </c>
      <c r="H1" s="1" t="s">
        <v>106</v>
      </c>
      <c r="I1" s="1" t="s">
        <v>107</v>
      </c>
      <c r="J1" s="8" t="s">
        <v>108</v>
      </c>
      <c r="K1" s="1" t="s">
        <v>109</v>
      </c>
      <c r="L1" s="50" t="s">
        <v>160</v>
      </c>
    </row>
    <row r="2" spans="1:12" ht="15.75" thickBot="1" x14ac:dyDescent="0.3">
      <c r="A2" s="4">
        <v>0</v>
      </c>
      <c r="B2" s="2">
        <v>2</v>
      </c>
      <c r="C2" s="2">
        <v>13</v>
      </c>
      <c r="D2" s="2" t="str">
        <f t="shared" ref="D2:D35" si="0">LEFT(F2, SEARCH("–", F2, 1) -1)</f>
        <v>1</v>
      </c>
      <c r="E2" s="13" t="str">
        <f t="shared" ref="E2:E35" si="1">RIGHT(F2, (LEN(F2) - SEARCH("–", F2)))</f>
        <v>6</v>
      </c>
      <c r="F2" s="9" t="s">
        <v>33</v>
      </c>
      <c r="G2" s="2">
        <v>3</v>
      </c>
      <c r="H2" s="2" t="str">
        <f t="shared" ref="H2:H35" si="2">LEFT(J2, SEARCH("–", J2, 1) -1)</f>
        <v>0</v>
      </c>
      <c r="I2" s="2" t="str">
        <f t="shared" ref="I2:I35" si="3">RIGHT(J2, (LEN(J2) - SEARCH("–", J2)))</f>
        <v>1</v>
      </c>
      <c r="J2" s="9" t="s">
        <v>34</v>
      </c>
      <c r="K2" s="2">
        <v>13</v>
      </c>
      <c r="L2">
        <v>10</v>
      </c>
    </row>
    <row r="3" spans="1:12" ht="15.75" thickBot="1" x14ac:dyDescent="0.3">
      <c r="A3" s="5">
        <v>0.125</v>
      </c>
      <c r="B3" s="3">
        <v>2</v>
      </c>
      <c r="C3" s="3">
        <v>13</v>
      </c>
      <c r="D3" s="2" t="str">
        <f t="shared" si="0"/>
        <v>7</v>
      </c>
      <c r="E3" s="13" t="str">
        <f t="shared" si="1"/>
        <v>35</v>
      </c>
      <c r="F3" s="10" t="s">
        <v>35</v>
      </c>
      <c r="G3" s="3">
        <v>3</v>
      </c>
      <c r="H3" s="2" t="str">
        <f t="shared" si="2"/>
        <v>2</v>
      </c>
      <c r="I3" s="2" t="str">
        <f t="shared" si="3"/>
        <v>3</v>
      </c>
      <c r="J3" s="10" t="s">
        <v>36</v>
      </c>
      <c r="K3" s="3">
        <v>13</v>
      </c>
      <c r="L3">
        <v>10</v>
      </c>
    </row>
    <row r="4" spans="1:12" ht="15.75" thickBot="1" x14ac:dyDescent="0.3">
      <c r="A4" s="4">
        <v>0.25</v>
      </c>
      <c r="B4" s="2">
        <v>2</v>
      </c>
      <c r="C4" s="2">
        <v>13</v>
      </c>
      <c r="D4" s="2" t="str">
        <f t="shared" si="0"/>
        <v>36</v>
      </c>
      <c r="E4" s="13" t="str">
        <f t="shared" si="1"/>
        <v>49</v>
      </c>
      <c r="F4" s="9" t="s">
        <v>37</v>
      </c>
      <c r="G4" s="2">
        <v>3</v>
      </c>
      <c r="H4" s="2" t="str">
        <f t="shared" si="2"/>
        <v>4</v>
      </c>
      <c r="I4" s="2" t="str">
        <f t="shared" si="3"/>
        <v>5</v>
      </c>
      <c r="J4" s="9" t="s">
        <v>38</v>
      </c>
      <c r="K4" s="2">
        <v>13</v>
      </c>
      <c r="L4">
        <v>10</v>
      </c>
    </row>
    <row r="5" spans="1:12" ht="15.75" thickBot="1" x14ac:dyDescent="0.3">
      <c r="A5" s="5">
        <v>0.5</v>
      </c>
      <c r="B5" s="3">
        <v>2</v>
      </c>
      <c r="C5" s="3">
        <v>13</v>
      </c>
      <c r="D5" s="2" t="str">
        <f t="shared" si="0"/>
        <v>50</v>
      </c>
      <c r="E5" s="13" t="str">
        <f t="shared" si="1"/>
        <v>70</v>
      </c>
      <c r="F5" s="10" t="s">
        <v>39</v>
      </c>
      <c r="G5" s="3">
        <v>3</v>
      </c>
      <c r="H5" s="2" t="str">
        <f t="shared" si="2"/>
        <v>6</v>
      </c>
      <c r="I5" s="2" t="str">
        <f t="shared" si="3"/>
        <v>8</v>
      </c>
      <c r="J5" s="10" t="s">
        <v>40</v>
      </c>
      <c r="K5" s="3">
        <v>13</v>
      </c>
      <c r="L5">
        <v>10</v>
      </c>
    </row>
    <row r="6" spans="1:12" ht="15.75" thickBot="1" x14ac:dyDescent="0.3">
      <c r="A6" s="4">
        <v>1</v>
      </c>
      <c r="B6" s="2">
        <v>2</v>
      </c>
      <c r="C6" s="2">
        <v>13</v>
      </c>
      <c r="D6" s="2" t="str">
        <f t="shared" si="0"/>
        <v>71</v>
      </c>
      <c r="E6" s="13" t="str">
        <f t="shared" si="1"/>
        <v>85</v>
      </c>
      <c r="F6" s="9" t="s">
        <v>41</v>
      </c>
      <c r="G6" s="2">
        <v>3</v>
      </c>
      <c r="H6" s="2" t="str">
        <f t="shared" si="2"/>
        <v>9</v>
      </c>
      <c r="I6" s="2" t="str">
        <f t="shared" si="3"/>
        <v>14</v>
      </c>
      <c r="J6" s="9" t="s">
        <v>42</v>
      </c>
      <c r="K6" s="2">
        <v>13</v>
      </c>
      <c r="L6">
        <v>10</v>
      </c>
    </row>
    <row r="7" spans="1:12" ht="15.75" thickBot="1" x14ac:dyDescent="0.3">
      <c r="A7" s="5">
        <v>2</v>
      </c>
      <c r="B7" s="3">
        <v>2</v>
      </c>
      <c r="C7" s="3">
        <v>13</v>
      </c>
      <c r="D7" s="2" t="str">
        <f t="shared" si="0"/>
        <v>86</v>
      </c>
      <c r="E7" s="13" t="str">
        <f t="shared" si="1"/>
        <v>100</v>
      </c>
      <c r="F7" s="10" t="s">
        <v>43</v>
      </c>
      <c r="G7" s="3">
        <v>3</v>
      </c>
      <c r="H7" s="2" t="str">
        <f t="shared" si="2"/>
        <v>15</v>
      </c>
      <c r="I7" s="2" t="str">
        <f t="shared" si="3"/>
        <v>20</v>
      </c>
      <c r="J7" s="10" t="s">
        <v>44</v>
      </c>
      <c r="K7" s="3">
        <v>13</v>
      </c>
      <c r="L7" s="46">
        <v>10</v>
      </c>
    </row>
    <row r="8" spans="1:12" ht="15.75" thickBot="1" x14ac:dyDescent="0.3">
      <c r="A8" s="4">
        <v>3</v>
      </c>
      <c r="B8" s="2">
        <v>2</v>
      </c>
      <c r="C8" s="2">
        <v>13</v>
      </c>
      <c r="D8" s="2" t="str">
        <f t="shared" si="0"/>
        <v>101</v>
      </c>
      <c r="E8" s="13" t="str">
        <f t="shared" si="1"/>
        <v>115</v>
      </c>
      <c r="F8" s="9" t="s">
        <v>45</v>
      </c>
      <c r="G8" s="2">
        <v>4</v>
      </c>
      <c r="H8" s="2" t="str">
        <f t="shared" si="2"/>
        <v>21</v>
      </c>
      <c r="I8" s="2" t="str">
        <f t="shared" si="3"/>
        <v>26</v>
      </c>
      <c r="J8" s="9" t="s">
        <v>46</v>
      </c>
      <c r="K8" s="2">
        <v>13</v>
      </c>
      <c r="L8" s="46">
        <v>10</v>
      </c>
    </row>
    <row r="9" spans="1:12" ht="15.75" thickBot="1" x14ac:dyDescent="0.3">
      <c r="A9" s="5">
        <v>4</v>
      </c>
      <c r="B9" s="3">
        <v>2</v>
      </c>
      <c r="C9" s="3">
        <v>14</v>
      </c>
      <c r="D9" s="2" t="str">
        <f t="shared" si="0"/>
        <v>116</v>
      </c>
      <c r="E9" s="13" t="str">
        <f t="shared" si="1"/>
        <v>130</v>
      </c>
      <c r="F9" s="10" t="s">
        <v>47</v>
      </c>
      <c r="G9" s="3">
        <v>5</v>
      </c>
      <c r="H9" s="2" t="str">
        <f t="shared" si="2"/>
        <v>27</v>
      </c>
      <c r="I9" s="2" t="str">
        <f t="shared" si="3"/>
        <v>32</v>
      </c>
      <c r="J9" s="10" t="s">
        <v>48</v>
      </c>
      <c r="K9" s="3">
        <v>14</v>
      </c>
      <c r="L9" s="46">
        <v>10</v>
      </c>
    </row>
    <row r="10" spans="1:12" ht="15.75" thickBot="1" x14ac:dyDescent="0.3">
      <c r="A10" s="4">
        <v>5</v>
      </c>
      <c r="B10" s="2">
        <v>3</v>
      </c>
      <c r="C10" s="2">
        <v>15</v>
      </c>
      <c r="D10" s="2" t="str">
        <f t="shared" si="0"/>
        <v>131</v>
      </c>
      <c r="E10" s="13" t="str">
        <f t="shared" si="1"/>
        <v>145</v>
      </c>
      <c r="F10" s="9" t="s">
        <v>49</v>
      </c>
      <c r="G10" s="2">
        <v>6</v>
      </c>
      <c r="H10" s="2" t="str">
        <f t="shared" si="2"/>
        <v>33</v>
      </c>
      <c r="I10" s="2" t="str">
        <f t="shared" si="3"/>
        <v>38</v>
      </c>
      <c r="J10" s="9" t="s">
        <v>50</v>
      </c>
      <c r="K10" s="2">
        <v>15</v>
      </c>
      <c r="L10">
        <v>20</v>
      </c>
    </row>
    <row r="11" spans="1:12" ht="15.75" thickBot="1" x14ac:dyDescent="0.3">
      <c r="A11" s="5">
        <v>6</v>
      </c>
      <c r="B11" s="3">
        <v>3</v>
      </c>
      <c r="C11" s="3">
        <v>15</v>
      </c>
      <c r="D11" s="2" t="str">
        <f t="shared" si="0"/>
        <v>146</v>
      </c>
      <c r="E11" s="13" t="str">
        <f t="shared" si="1"/>
        <v>160</v>
      </c>
      <c r="F11" s="10" t="s">
        <v>51</v>
      </c>
      <c r="G11" s="3">
        <v>6</v>
      </c>
      <c r="H11" s="2" t="str">
        <f t="shared" si="2"/>
        <v>39</v>
      </c>
      <c r="I11" s="2" t="str">
        <f t="shared" si="3"/>
        <v>44</v>
      </c>
      <c r="J11" s="10" t="s">
        <v>52</v>
      </c>
      <c r="K11" s="3">
        <v>15</v>
      </c>
      <c r="L11">
        <v>20</v>
      </c>
    </row>
    <row r="12" spans="1:12" ht="15.75" thickBot="1" x14ac:dyDescent="0.3">
      <c r="A12" s="4">
        <v>7</v>
      </c>
      <c r="B12" s="2">
        <v>3</v>
      </c>
      <c r="C12" s="2">
        <v>15</v>
      </c>
      <c r="D12" s="2" t="str">
        <f t="shared" si="0"/>
        <v>161</v>
      </c>
      <c r="E12" s="13" t="str">
        <f t="shared" si="1"/>
        <v>175</v>
      </c>
      <c r="F12" s="9" t="s">
        <v>53</v>
      </c>
      <c r="G12" s="2">
        <v>6</v>
      </c>
      <c r="H12" s="2" t="str">
        <f t="shared" si="2"/>
        <v>45</v>
      </c>
      <c r="I12" s="2" t="str">
        <f t="shared" si="3"/>
        <v>50</v>
      </c>
      <c r="J12" s="9" t="s">
        <v>54</v>
      </c>
      <c r="K12" s="2">
        <v>15</v>
      </c>
      <c r="L12" s="46">
        <v>20</v>
      </c>
    </row>
    <row r="13" spans="1:12" ht="15.75" thickBot="1" x14ac:dyDescent="0.3">
      <c r="A13" s="5">
        <v>8</v>
      </c>
      <c r="B13" s="3">
        <v>3</v>
      </c>
      <c r="C13" s="3">
        <v>16</v>
      </c>
      <c r="D13" s="2" t="str">
        <f t="shared" si="0"/>
        <v>176</v>
      </c>
      <c r="E13" s="13" t="str">
        <f t="shared" si="1"/>
        <v>190</v>
      </c>
      <c r="F13" s="10" t="s">
        <v>55</v>
      </c>
      <c r="G13" s="3">
        <v>7</v>
      </c>
      <c r="H13" s="2" t="str">
        <f t="shared" si="2"/>
        <v>51</v>
      </c>
      <c r="I13" s="2" t="str">
        <f t="shared" si="3"/>
        <v>56</v>
      </c>
      <c r="J13" s="10" t="s">
        <v>56</v>
      </c>
      <c r="K13" s="3">
        <v>16</v>
      </c>
      <c r="L13" s="46">
        <v>20</v>
      </c>
    </row>
    <row r="14" spans="1:12" ht="15.75" thickBot="1" x14ac:dyDescent="0.3">
      <c r="A14" s="4">
        <v>9</v>
      </c>
      <c r="B14" s="2">
        <v>4</v>
      </c>
      <c r="C14" s="2">
        <v>16</v>
      </c>
      <c r="D14" s="2" t="str">
        <f t="shared" si="0"/>
        <v>191</v>
      </c>
      <c r="E14" s="13" t="str">
        <f t="shared" si="1"/>
        <v>205</v>
      </c>
      <c r="F14" s="9" t="s">
        <v>57</v>
      </c>
      <c r="G14" s="2">
        <v>7</v>
      </c>
      <c r="H14" s="2" t="str">
        <f t="shared" si="2"/>
        <v>57</v>
      </c>
      <c r="I14" s="2" t="str">
        <f t="shared" si="3"/>
        <v>62</v>
      </c>
      <c r="J14" s="9" t="s">
        <v>58</v>
      </c>
      <c r="K14" s="2">
        <v>16</v>
      </c>
      <c r="L14" s="46">
        <v>20</v>
      </c>
    </row>
    <row r="15" spans="1:12" ht="15.75" thickBot="1" x14ac:dyDescent="0.3">
      <c r="A15" s="5">
        <v>10</v>
      </c>
      <c r="B15" s="3">
        <v>4</v>
      </c>
      <c r="C15" s="3">
        <v>17</v>
      </c>
      <c r="D15" s="2" t="str">
        <f t="shared" si="0"/>
        <v>206</v>
      </c>
      <c r="E15" s="13" t="str">
        <f t="shared" si="1"/>
        <v>220</v>
      </c>
      <c r="F15" s="10" t="s">
        <v>59</v>
      </c>
      <c r="G15" s="3">
        <v>7</v>
      </c>
      <c r="H15" s="2" t="str">
        <f t="shared" si="2"/>
        <v>63</v>
      </c>
      <c r="I15" s="2" t="str">
        <f t="shared" si="3"/>
        <v>68</v>
      </c>
      <c r="J15" s="10" t="s">
        <v>60</v>
      </c>
      <c r="K15" s="3">
        <v>16</v>
      </c>
      <c r="L15" s="46">
        <v>20</v>
      </c>
    </row>
    <row r="16" spans="1:12" ht="15.75" thickBot="1" x14ac:dyDescent="0.3">
      <c r="A16" s="4">
        <v>11</v>
      </c>
      <c r="B16" s="2">
        <v>4</v>
      </c>
      <c r="C16" s="2">
        <v>17</v>
      </c>
      <c r="D16" s="2" t="str">
        <f t="shared" si="0"/>
        <v>221</v>
      </c>
      <c r="E16" s="13" t="str">
        <f t="shared" si="1"/>
        <v>235</v>
      </c>
      <c r="F16" s="9" t="s">
        <v>61</v>
      </c>
      <c r="G16" s="2">
        <v>8</v>
      </c>
      <c r="H16" s="2" t="str">
        <f t="shared" si="2"/>
        <v>69</v>
      </c>
      <c r="I16" s="2" t="str">
        <f t="shared" si="3"/>
        <v>74</v>
      </c>
      <c r="J16" s="9" t="s">
        <v>62</v>
      </c>
      <c r="K16" s="2">
        <v>17</v>
      </c>
      <c r="L16">
        <v>30</v>
      </c>
    </row>
    <row r="17" spans="1:12" ht="15.75" thickBot="1" x14ac:dyDescent="0.3">
      <c r="A17" s="5">
        <v>12</v>
      </c>
      <c r="B17" s="3">
        <v>4</v>
      </c>
      <c r="C17" s="3">
        <v>17</v>
      </c>
      <c r="D17" s="2" t="str">
        <f t="shared" si="0"/>
        <v>236</v>
      </c>
      <c r="E17" s="13" t="str">
        <f t="shared" si="1"/>
        <v>250</v>
      </c>
      <c r="F17" s="10" t="s">
        <v>63</v>
      </c>
      <c r="G17" s="3">
        <v>8</v>
      </c>
      <c r="H17" s="2" t="str">
        <f t="shared" si="2"/>
        <v>75</v>
      </c>
      <c r="I17" s="2" t="str">
        <f t="shared" si="3"/>
        <v>80</v>
      </c>
      <c r="J17" s="10" t="s">
        <v>64</v>
      </c>
      <c r="K17" s="3">
        <v>17</v>
      </c>
      <c r="L17">
        <v>30</v>
      </c>
    </row>
    <row r="18" spans="1:12" ht="15.75" thickBot="1" x14ac:dyDescent="0.3">
      <c r="A18" s="4">
        <v>13</v>
      </c>
      <c r="B18" s="2">
        <v>5</v>
      </c>
      <c r="C18" s="2">
        <v>18</v>
      </c>
      <c r="D18" s="2" t="str">
        <f t="shared" si="0"/>
        <v>251</v>
      </c>
      <c r="E18" s="13" t="str">
        <f t="shared" si="1"/>
        <v>265</v>
      </c>
      <c r="F18" s="9" t="s">
        <v>65</v>
      </c>
      <c r="G18" s="2">
        <v>8</v>
      </c>
      <c r="H18" s="2" t="str">
        <f t="shared" si="2"/>
        <v>81</v>
      </c>
      <c r="I18" s="2" t="str">
        <f t="shared" si="3"/>
        <v>86</v>
      </c>
      <c r="J18" s="9" t="s">
        <v>66</v>
      </c>
      <c r="K18" s="2">
        <v>18</v>
      </c>
      <c r="L18" s="46">
        <v>30</v>
      </c>
    </row>
    <row r="19" spans="1:12" ht="15.75" thickBot="1" x14ac:dyDescent="0.3">
      <c r="A19" s="5">
        <v>14</v>
      </c>
      <c r="B19" s="3">
        <v>5</v>
      </c>
      <c r="C19" s="3">
        <v>18</v>
      </c>
      <c r="D19" s="2" t="str">
        <f t="shared" si="0"/>
        <v>266</v>
      </c>
      <c r="E19" s="13" t="str">
        <f t="shared" si="1"/>
        <v>280</v>
      </c>
      <c r="F19" s="10" t="s">
        <v>67</v>
      </c>
      <c r="G19" s="3">
        <v>8</v>
      </c>
      <c r="H19" s="2" t="str">
        <f t="shared" si="2"/>
        <v>87</v>
      </c>
      <c r="I19" s="2" t="str">
        <f t="shared" si="3"/>
        <v>92</v>
      </c>
      <c r="J19" s="10" t="s">
        <v>68</v>
      </c>
      <c r="K19" s="3">
        <v>18</v>
      </c>
      <c r="L19" s="46">
        <v>30</v>
      </c>
    </row>
    <row r="20" spans="1:12" ht="15.75" thickBot="1" x14ac:dyDescent="0.3">
      <c r="A20" s="4">
        <v>15</v>
      </c>
      <c r="B20" s="2">
        <v>5</v>
      </c>
      <c r="C20" s="2">
        <v>18</v>
      </c>
      <c r="D20" s="2" t="str">
        <f t="shared" si="0"/>
        <v>281</v>
      </c>
      <c r="E20" s="13" t="str">
        <f t="shared" si="1"/>
        <v>295</v>
      </c>
      <c r="F20" s="9" t="s">
        <v>69</v>
      </c>
      <c r="G20" s="2">
        <v>8</v>
      </c>
      <c r="H20" s="2" t="str">
        <f t="shared" si="2"/>
        <v>93</v>
      </c>
      <c r="I20" s="2" t="str">
        <f t="shared" si="3"/>
        <v>98</v>
      </c>
      <c r="J20" s="9" t="s">
        <v>70</v>
      </c>
      <c r="K20" s="2">
        <v>18</v>
      </c>
      <c r="L20" s="46">
        <v>30</v>
      </c>
    </row>
    <row r="21" spans="1:12" ht="15.75" thickBot="1" x14ac:dyDescent="0.3">
      <c r="A21" s="5">
        <v>16</v>
      </c>
      <c r="B21" s="3">
        <v>5</v>
      </c>
      <c r="C21" s="3">
        <v>18</v>
      </c>
      <c r="D21" s="2" t="str">
        <f t="shared" si="0"/>
        <v>296</v>
      </c>
      <c r="E21" s="13" t="str">
        <f t="shared" si="1"/>
        <v>310</v>
      </c>
      <c r="F21" s="10" t="s">
        <v>71</v>
      </c>
      <c r="G21" s="3">
        <v>9</v>
      </c>
      <c r="H21" s="2" t="str">
        <f t="shared" si="2"/>
        <v>99</v>
      </c>
      <c r="I21" s="2" t="str">
        <f t="shared" si="3"/>
        <v>104</v>
      </c>
      <c r="J21" s="10" t="s">
        <v>72</v>
      </c>
      <c r="K21" s="3">
        <v>18</v>
      </c>
      <c r="L21" s="46">
        <v>30</v>
      </c>
    </row>
    <row r="22" spans="1:12" ht="15.75" thickBot="1" x14ac:dyDescent="0.3">
      <c r="A22" s="4">
        <v>17</v>
      </c>
      <c r="B22" s="2">
        <v>6</v>
      </c>
      <c r="C22" s="2">
        <v>19</v>
      </c>
      <c r="D22" s="2" t="str">
        <f t="shared" si="0"/>
        <v>311</v>
      </c>
      <c r="E22" s="13" t="str">
        <f t="shared" si="1"/>
        <v>325</v>
      </c>
      <c r="F22" s="9" t="s">
        <v>73</v>
      </c>
      <c r="G22" s="2">
        <v>10</v>
      </c>
      <c r="H22" s="2" t="str">
        <f t="shared" si="2"/>
        <v>105</v>
      </c>
      <c r="I22" s="2" t="str">
        <f t="shared" si="3"/>
        <v>110</v>
      </c>
      <c r="J22" s="9" t="s">
        <v>74</v>
      </c>
      <c r="K22" s="2">
        <v>19</v>
      </c>
      <c r="L22" s="46">
        <v>30</v>
      </c>
    </row>
    <row r="23" spans="1:12" ht="15.75" thickBot="1" x14ac:dyDescent="0.3">
      <c r="A23" s="5">
        <v>18</v>
      </c>
      <c r="B23" s="3">
        <v>6</v>
      </c>
      <c r="C23" s="3">
        <v>19</v>
      </c>
      <c r="D23" s="2" t="str">
        <f t="shared" si="0"/>
        <v>326</v>
      </c>
      <c r="E23" s="13" t="str">
        <f t="shared" si="1"/>
        <v>340</v>
      </c>
      <c r="F23" s="10" t="s">
        <v>75</v>
      </c>
      <c r="G23" s="3">
        <v>10</v>
      </c>
      <c r="H23" s="2" t="str">
        <f t="shared" si="2"/>
        <v>111</v>
      </c>
      <c r="I23" s="2" t="str">
        <f t="shared" si="3"/>
        <v>116</v>
      </c>
      <c r="J23" s="10" t="s">
        <v>76</v>
      </c>
      <c r="K23" s="3">
        <v>19</v>
      </c>
      <c r="L23" s="46">
        <v>30</v>
      </c>
    </row>
    <row r="24" spans="1:12" ht="15.75" thickBot="1" x14ac:dyDescent="0.3">
      <c r="A24" s="4">
        <v>19</v>
      </c>
      <c r="B24" s="2">
        <v>6</v>
      </c>
      <c r="C24" s="2">
        <v>19</v>
      </c>
      <c r="D24" s="2" t="str">
        <f t="shared" si="0"/>
        <v>341</v>
      </c>
      <c r="E24" s="13" t="str">
        <f t="shared" si="1"/>
        <v>355</v>
      </c>
      <c r="F24" s="9" t="s">
        <v>77</v>
      </c>
      <c r="G24" s="2">
        <v>10</v>
      </c>
      <c r="H24" s="2" t="str">
        <f t="shared" si="2"/>
        <v>117</v>
      </c>
      <c r="I24" s="2" t="str">
        <f t="shared" si="3"/>
        <v>122</v>
      </c>
      <c r="J24" s="9" t="s">
        <v>78</v>
      </c>
      <c r="K24" s="2">
        <v>19</v>
      </c>
      <c r="L24" s="46">
        <v>30</v>
      </c>
    </row>
    <row r="25" spans="1:12" ht="15.75" thickBot="1" x14ac:dyDescent="0.3">
      <c r="A25" s="5">
        <v>20</v>
      </c>
      <c r="B25" s="3">
        <v>6</v>
      </c>
      <c r="C25" s="3">
        <v>19</v>
      </c>
      <c r="D25" s="2" t="str">
        <f t="shared" si="0"/>
        <v>356</v>
      </c>
      <c r="E25" s="13" t="str">
        <f t="shared" si="1"/>
        <v>400</v>
      </c>
      <c r="F25" s="10" t="s">
        <v>79</v>
      </c>
      <c r="G25" s="3">
        <v>10</v>
      </c>
      <c r="H25" s="2" t="str">
        <f t="shared" si="2"/>
        <v>123</v>
      </c>
      <c r="I25" s="2" t="str">
        <f t="shared" si="3"/>
        <v>140</v>
      </c>
      <c r="J25" s="10" t="s">
        <v>80</v>
      </c>
      <c r="K25" s="3">
        <v>19</v>
      </c>
      <c r="L25" s="46">
        <v>30</v>
      </c>
    </row>
    <row r="26" spans="1:12" ht="15.75" thickBot="1" x14ac:dyDescent="0.3">
      <c r="A26" s="4">
        <v>21</v>
      </c>
      <c r="B26" s="2">
        <v>7</v>
      </c>
      <c r="C26" s="2">
        <v>19</v>
      </c>
      <c r="D26" s="2" t="str">
        <f t="shared" si="0"/>
        <v>401</v>
      </c>
      <c r="E26" s="13" t="str">
        <f t="shared" si="1"/>
        <v>445</v>
      </c>
      <c r="F26" s="9" t="s">
        <v>81</v>
      </c>
      <c r="G26" s="2">
        <v>11</v>
      </c>
      <c r="H26" s="2" t="str">
        <f t="shared" si="2"/>
        <v>141</v>
      </c>
      <c r="I26" s="2" t="str">
        <f t="shared" si="3"/>
        <v>158</v>
      </c>
      <c r="J26" s="9" t="s">
        <v>82</v>
      </c>
      <c r="K26" s="2">
        <v>20</v>
      </c>
      <c r="L26" s="46">
        <v>30</v>
      </c>
    </row>
    <row r="27" spans="1:12" ht="15.75" thickBot="1" x14ac:dyDescent="0.3">
      <c r="A27" s="5">
        <v>22</v>
      </c>
      <c r="B27" s="3">
        <v>7</v>
      </c>
      <c r="C27" s="3">
        <v>19</v>
      </c>
      <c r="D27" s="2" t="str">
        <f t="shared" si="0"/>
        <v>446</v>
      </c>
      <c r="E27" s="13" t="str">
        <f t="shared" si="1"/>
        <v>490</v>
      </c>
      <c r="F27" s="10" t="s">
        <v>83</v>
      </c>
      <c r="G27" s="3">
        <v>11</v>
      </c>
      <c r="H27" s="2" t="str">
        <f t="shared" si="2"/>
        <v>159</v>
      </c>
      <c r="I27" s="2" t="str">
        <f t="shared" si="3"/>
        <v>176</v>
      </c>
      <c r="J27" s="10" t="s">
        <v>84</v>
      </c>
      <c r="K27" s="3">
        <v>20</v>
      </c>
      <c r="L27" s="46">
        <v>30</v>
      </c>
    </row>
    <row r="28" spans="1:12" ht="15.75" thickBot="1" x14ac:dyDescent="0.3">
      <c r="A28" s="4">
        <v>23</v>
      </c>
      <c r="B28" s="2">
        <v>7</v>
      </c>
      <c r="C28" s="2">
        <v>19</v>
      </c>
      <c r="D28" s="2" t="str">
        <f t="shared" si="0"/>
        <v>491</v>
      </c>
      <c r="E28" s="13" t="str">
        <f t="shared" si="1"/>
        <v>535</v>
      </c>
      <c r="F28" s="9" t="s">
        <v>85</v>
      </c>
      <c r="G28" s="2">
        <v>11</v>
      </c>
      <c r="H28" s="2" t="str">
        <f t="shared" si="2"/>
        <v>177</v>
      </c>
      <c r="I28" s="2" t="str">
        <f t="shared" si="3"/>
        <v>194</v>
      </c>
      <c r="J28" s="9" t="s">
        <v>86</v>
      </c>
      <c r="K28" s="2">
        <v>20</v>
      </c>
      <c r="L28" s="46">
        <v>30</v>
      </c>
    </row>
    <row r="29" spans="1:12" ht="15.75" thickBot="1" x14ac:dyDescent="0.3">
      <c r="A29" s="5">
        <v>24</v>
      </c>
      <c r="B29" s="3">
        <v>7</v>
      </c>
      <c r="C29" s="3">
        <v>19</v>
      </c>
      <c r="D29" s="2" t="str">
        <f t="shared" si="0"/>
        <v>536</v>
      </c>
      <c r="E29" s="13" t="str">
        <f t="shared" si="1"/>
        <v>580</v>
      </c>
      <c r="F29" s="10" t="s">
        <v>87</v>
      </c>
      <c r="G29" s="3">
        <v>12</v>
      </c>
      <c r="H29" s="2" t="str">
        <f t="shared" si="2"/>
        <v>195</v>
      </c>
      <c r="I29" s="2" t="str">
        <f t="shared" si="3"/>
        <v>212</v>
      </c>
      <c r="J29" s="10" t="s">
        <v>88</v>
      </c>
      <c r="K29" s="3">
        <v>21</v>
      </c>
      <c r="L29" s="46">
        <v>30</v>
      </c>
    </row>
    <row r="30" spans="1:12" ht="15.75" thickBot="1" x14ac:dyDescent="0.3">
      <c r="A30" s="4">
        <v>25</v>
      </c>
      <c r="B30" s="2">
        <v>8</v>
      </c>
      <c r="C30" s="2">
        <v>19</v>
      </c>
      <c r="D30" s="2" t="str">
        <f t="shared" si="0"/>
        <v>581</v>
      </c>
      <c r="E30" s="13" t="str">
        <f t="shared" si="1"/>
        <v>625</v>
      </c>
      <c r="F30" s="9" t="s">
        <v>89</v>
      </c>
      <c r="G30" s="2">
        <v>12</v>
      </c>
      <c r="H30" s="2" t="str">
        <f t="shared" si="2"/>
        <v>213</v>
      </c>
      <c r="I30" s="2" t="str">
        <f t="shared" si="3"/>
        <v>230</v>
      </c>
      <c r="J30" s="9" t="s">
        <v>90</v>
      </c>
      <c r="K30" s="2">
        <v>21</v>
      </c>
      <c r="L30" s="46">
        <v>30</v>
      </c>
    </row>
    <row r="31" spans="1:12" ht="15.75" thickBot="1" x14ac:dyDescent="0.3">
      <c r="A31" s="5">
        <v>26</v>
      </c>
      <c r="B31" s="3">
        <v>8</v>
      </c>
      <c r="C31" s="3">
        <v>19</v>
      </c>
      <c r="D31" s="2" t="str">
        <f t="shared" si="0"/>
        <v>626</v>
      </c>
      <c r="E31" s="13" t="str">
        <f t="shared" si="1"/>
        <v>670</v>
      </c>
      <c r="F31" s="10" t="s">
        <v>91</v>
      </c>
      <c r="G31" s="3">
        <v>12</v>
      </c>
      <c r="H31" s="2" t="str">
        <f t="shared" si="2"/>
        <v>231</v>
      </c>
      <c r="I31" s="2" t="str">
        <f t="shared" si="3"/>
        <v>248</v>
      </c>
      <c r="J31" s="10" t="s">
        <v>92</v>
      </c>
      <c r="K31" s="3">
        <v>21</v>
      </c>
      <c r="L31" s="46">
        <v>30</v>
      </c>
    </row>
    <row r="32" spans="1:12" ht="15.75" thickBot="1" x14ac:dyDescent="0.3">
      <c r="A32" s="4">
        <v>27</v>
      </c>
      <c r="B32" s="2">
        <v>8</v>
      </c>
      <c r="C32" s="2">
        <v>19</v>
      </c>
      <c r="D32" s="2" t="str">
        <f t="shared" si="0"/>
        <v>671</v>
      </c>
      <c r="E32" s="13" t="str">
        <f t="shared" si="1"/>
        <v>715</v>
      </c>
      <c r="F32" s="9" t="s">
        <v>93</v>
      </c>
      <c r="G32" s="2">
        <v>13</v>
      </c>
      <c r="H32" s="2" t="str">
        <f t="shared" si="2"/>
        <v>249</v>
      </c>
      <c r="I32" s="2" t="str">
        <f t="shared" si="3"/>
        <v>266</v>
      </c>
      <c r="J32" s="9" t="s">
        <v>94</v>
      </c>
      <c r="K32" s="2">
        <v>22</v>
      </c>
      <c r="L32" s="46">
        <v>30</v>
      </c>
    </row>
    <row r="33" spans="1:12" ht="15.75" thickBot="1" x14ac:dyDescent="0.3">
      <c r="A33" s="5">
        <v>28</v>
      </c>
      <c r="B33" s="3">
        <v>8</v>
      </c>
      <c r="C33" s="3">
        <v>19</v>
      </c>
      <c r="D33" s="2" t="str">
        <f t="shared" si="0"/>
        <v>716</v>
      </c>
      <c r="E33" s="13" t="str">
        <f t="shared" si="1"/>
        <v>760</v>
      </c>
      <c r="F33" s="10" t="s">
        <v>95</v>
      </c>
      <c r="G33" s="3">
        <v>13</v>
      </c>
      <c r="H33" s="2" t="str">
        <f t="shared" si="2"/>
        <v>267</v>
      </c>
      <c r="I33" s="2" t="str">
        <f t="shared" si="3"/>
        <v>284</v>
      </c>
      <c r="J33" s="10" t="s">
        <v>96</v>
      </c>
      <c r="K33" s="3">
        <v>22</v>
      </c>
      <c r="L33" s="46">
        <v>30</v>
      </c>
    </row>
    <row r="34" spans="1:12" ht="15.75" thickBot="1" x14ac:dyDescent="0.3">
      <c r="A34" s="4">
        <v>29</v>
      </c>
      <c r="B34" s="2">
        <v>9</v>
      </c>
      <c r="C34" s="2">
        <v>19</v>
      </c>
      <c r="D34" s="2" t="str">
        <f t="shared" si="0"/>
        <v>761</v>
      </c>
      <c r="E34" s="13" t="str">
        <f t="shared" si="1"/>
        <v>805</v>
      </c>
      <c r="F34" s="9" t="s">
        <v>97</v>
      </c>
      <c r="G34" s="2">
        <v>13</v>
      </c>
      <c r="H34" s="2" t="str">
        <f t="shared" si="2"/>
        <v>285</v>
      </c>
      <c r="I34" s="2" t="str">
        <f t="shared" si="3"/>
        <v>302</v>
      </c>
      <c r="J34" s="9" t="s">
        <v>98</v>
      </c>
      <c r="K34" s="2">
        <v>22</v>
      </c>
      <c r="L34" s="46">
        <v>30</v>
      </c>
    </row>
    <row r="35" spans="1:12" ht="15.75" thickBot="1" x14ac:dyDescent="0.3">
      <c r="A35" s="5">
        <v>30</v>
      </c>
      <c r="B35" s="3">
        <v>9</v>
      </c>
      <c r="C35" s="3">
        <v>19</v>
      </c>
      <c r="D35" s="2" t="str">
        <f t="shared" si="0"/>
        <v>806</v>
      </c>
      <c r="E35" s="13" t="str">
        <f t="shared" si="1"/>
        <v>850</v>
      </c>
      <c r="F35" s="10" t="s">
        <v>99</v>
      </c>
      <c r="G35" s="3">
        <v>14</v>
      </c>
      <c r="H35" s="2" t="str">
        <f t="shared" si="2"/>
        <v>303</v>
      </c>
      <c r="I35" s="2" t="str">
        <f t="shared" si="3"/>
        <v>320</v>
      </c>
      <c r="J35" s="10" t="s">
        <v>100</v>
      </c>
      <c r="K35" s="3">
        <v>23</v>
      </c>
      <c r="L35" s="46">
        <v>30</v>
      </c>
    </row>
    <row r="37" spans="1:12" x14ac:dyDescent="0.25">
      <c r="A37" s="24" t="s">
        <v>135</v>
      </c>
      <c r="B37" s="15" t="s">
        <v>136</v>
      </c>
      <c r="D37" s="15" t="s">
        <v>166</v>
      </c>
      <c r="E37" s="49"/>
      <c r="F37" s="54" t="s">
        <v>181</v>
      </c>
      <c r="H37" t="s">
        <v>121</v>
      </c>
      <c r="I37">
        <v>2.5</v>
      </c>
      <c r="J37" s="57" t="s">
        <v>25</v>
      </c>
    </row>
    <row r="38" spans="1:12" x14ac:dyDescent="0.25">
      <c r="A38" s="24" t="s">
        <v>25</v>
      </c>
      <c r="B38">
        <v>2.5</v>
      </c>
      <c r="D38" t="s">
        <v>167</v>
      </c>
      <c r="E38" s="14"/>
      <c r="F38" s="11" t="s">
        <v>194</v>
      </c>
      <c r="H38" t="s">
        <v>122</v>
      </c>
      <c r="I38">
        <v>3.5</v>
      </c>
      <c r="J38" s="57" t="s">
        <v>26</v>
      </c>
    </row>
    <row r="39" spans="1:12" x14ac:dyDescent="0.25">
      <c r="A39" s="24" t="s">
        <v>26</v>
      </c>
      <c r="B39">
        <v>3.5</v>
      </c>
      <c r="D39" t="s">
        <v>168</v>
      </c>
      <c r="E39" s="48"/>
      <c r="F39" s="11" t="s">
        <v>195</v>
      </c>
      <c r="H39" t="s">
        <v>123</v>
      </c>
      <c r="I39">
        <v>4.5</v>
      </c>
      <c r="J39" s="57" t="s">
        <v>27</v>
      </c>
    </row>
    <row r="40" spans="1:12" x14ac:dyDescent="0.25">
      <c r="A40" s="24" t="s">
        <v>27</v>
      </c>
      <c r="B40">
        <v>4.5</v>
      </c>
      <c r="D40" t="s">
        <v>169</v>
      </c>
      <c r="E40" s="48"/>
      <c r="F40" s="55" t="s">
        <v>191</v>
      </c>
      <c r="H40" s="53" t="s">
        <v>124</v>
      </c>
      <c r="I40" s="53">
        <v>5.5</v>
      </c>
      <c r="J40" s="57" t="s">
        <v>28</v>
      </c>
    </row>
    <row r="41" spans="1:12" x14ac:dyDescent="0.25">
      <c r="A41" s="24" t="s">
        <v>28</v>
      </c>
      <c r="B41">
        <v>5.5</v>
      </c>
      <c r="D41" t="s">
        <v>170</v>
      </c>
      <c r="E41" s="48"/>
      <c r="F41" s="55" t="s">
        <v>192</v>
      </c>
      <c r="H41" s="53" t="s">
        <v>125</v>
      </c>
      <c r="I41" s="53">
        <v>6.5</v>
      </c>
      <c r="J41" s="57" t="s">
        <v>29</v>
      </c>
    </row>
    <row r="42" spans="1:12" x14ac:dyDescent="0.25">
      <c r="A42" s="24" t="s">
        <v>29</v>
      </c>
      <c r="B42">
        <v>6.5</v>
      </c>
      <c r="D42" t="s">
        <v>171</v>
      </c>
      <c r="E42" s="14"/>
      <c r="F42" s="55" t="s">
        <v>193</v>
      </c>
      <c r="H42" s="53" t="s">
        <v>126</v>
      </c>
      <c r="I42" s="53">
        <v>10.5</v>
      </c>
      <c r="J42" s="57" t="s">
        <v>137</v>
      </c>
    </row>
    <row r="43" spans="1:12" x14ac:dyDescent="0.25">
      <c r="A43" s="24" t="s">
        <v>137</v>
      </c>
      <c r="B43">
        <v>10.5</v>
      </c>
      <c r="D43" t="s">
        <v>172</v>
      </c>
      <c r="E43" s="14"/>
      <c r="F43" s="55" t="s">
        <v>196</v>
      </c>
    </row>
    <row r="44" spans="1:12" x14ac:dyDescent="0.25">
      <c r="A44" s="6"/>
      <c r="D44" t="s">
        <v>173</v>
      </c>
      <c r="E44" s="14"/>
      <c r="F44" s="55" t="s">
        <v>197</v>
      </c>
    </row>
    <row r="45" spans="1:12" x14ac:dyDescent="0.25">
      <c r="A45" s="24" t="s">
        <v>127</v>
      </c>
      <c r="B45" s="15" t="s">
        <v>24</v>
      </c>
      <c r="D45" t="s">
        <v>174</v>
      </c>
      <c r="E45" s="14"/>
      <c r="F45" s="11" t="s">
        <v>182</v>
      </c>
    </row>
    <row r="46" spans="1:12" x14ac:dyDescent="0.25">
      <c r="A46" s="15" t="s">
        <v>121</v>
      </c>
      <c r="B46">
        <v>1</v>
      </c>
      <c r="D46" t="s">
        <v>175</v>
      </c>
      <c r="E46" s="14"/>
      <c r="F46" s="48" t="s">
        <v>183</v>
      </c>
    </row>
    <row r="47" spans="1:12" x14ac:dyDescent="0.25">
      <c r="A47" s="15" t="s">
        <v>122</v>
      </c>
      <c r="B47">
        <v>1</v>
      </c>
      <c r="D47" t="s">
        <v>176</v>
      </c>
      <c r="E47" s="14"/>
      <c r="F47" s="48" t="s">
        <v>184</v>
      </c>
    </row>
    <row r="48" spans="1:12" x14ac:dyDescent="0.25">
      <c r="A48" s="15" t="s">
        <v>123</v>
      </c>
      <c r="B48">
        <v>1</v>
      </c>
      <c r="D48" t="s">
        <v>177</v>
      </c>
      <c r="E48" s="14"/>
      <c r="F48" s="48" t="s">
        <v>185</v>
      </c>
    </row>
    <row r="49" spans="1:6" x14ac:dyDescent="0.25">
      <c r="A49" s="15" t="s">
        <v>124</v>
      </c>
      <c r="B49">
        <v>2</v>
      </c>
      <c r="D49" t="s">
        <v>178</v>
      </c>
      <c r="E49" s="14"/>
      <c r="F49" s="11" t="s">
        <v>186</v>
      </c>
    </row>
    <row r="50" spans="1:6" x14ac:dyDescent="0.25">
      <c r="A50" s="15" t="s">
        <v>125</v>
      </c>
      <c r="B50">
        <v>3</v>
      </c>
      <c r="D50" t="s">
        <v>179</v>
      </c>
      <c r="E50" s="14"/>
      <c r="F50" s="11" t="s">
        <v>187</v>
      </c>
    </row>
    <row r="51" spans="1:6" x14ac:dyDescent="0.25">
      <c r="A51" s="15" t="s">
        <v>126</v>
      </c>
      <c r="B51">
        <v>4</v>
      </c>
      <c r="D51" t="s">
        <v>180</v>
      </c>
      <c r="E51" s="14"/>
      <c r="F51" s="11" t="s">
        <v>188</v>
      </c>
    </row>
    <row r="52" spans="1:6" x14ac:dyDescent="0.25">
      <c r="A52" s="6"/>
      <c r="E52" s="14"/>
      <c r="F52" s="11" t="s">
        <v>189</v>
      </c>
    </row>
    <row r="53" spans="1:6" x14ac:dyDescent="0.25">
      <c r="A53" s="24" t="s">
        <v>138</v>
      </c>
      <c r="C53" s="15" t="s">
        <v>200</v>
      </c>
      <c r="E53" s="14"/>
      <c r="F53" s="11" t="s">
        <v>190</v>
      </c>
    </row>
    <row r="54" spans="1:6" x14ac:dyDescent="0.25">
      <c r="A54" s="6" t="s">
        <v>140</v>
      </c>
      <c r="C54" s="53" t="s">
        <v>201</v>
      </c>
      <c r="E54" s="14"/>
      <c r="F54" s="11"/>
    </row>
    <row r="55" spans="1:6" x14ac:dyDescent="0.25">
      <c r="A55" s="6" t="s">
        <v>141</v>
      </c>
      <c r="C55" s="53" t="s">
        <v>202</v>
      </c>
      <c r="E55" s="14"/>
      <c r="F55" s="11"/>
    </row>
    <row r="56" spans="1:6" x14ac:dyDescent="0.25">
      <c r="A56" s="6" t="s">
        <v>142</v>
      </c>
      <c r="C56" s="53" t="s">
        <v>203</v>
      </c>
      <c r="E56" s="14"/>
      <c r="F56" s="11"/>
    </row>
    <row r="57" spans="1:6" x14ac:dyDescent="0.25">
      <c r="A57" s="6" t="s">
        <v>139</v>
      </c>
      <c r="C57" s="53" t="s">
        <v>204</v>
      </c>
      <c r="E57" s="14"/>
      <c r="F57" s="11"/>
    </row>
    <row r="58" spans="1:6" x14ac:dyDescent="0.25">
      <c r="A58" s="6" t="s">
        <v>143</v>
      </c>
      <c r="C58" s="53" t="s">
        <v>205</v>
      </c>
      <c r="E58" s="14"/>
      <c r="F58" s="11"/>
    </row>
    <row r="59" spans="1:6" x14ac:dyDescent="0.25">
      <c r="A59" s="6" t="s">
        <v>144</v>
      </c>
      <c r="C59" s="53" t="s">
        <v>206</v>
      </c>
      <c r="E59" s="14"/>
      <c r="F59" s="11"/>
    </row>
    <row r="60" spans="1:6" x14ac:dyDescent="0.25">
      <c r="A60" s="6" t="s">
        <v>145</v>
      </c>
      <c r="C60" s="53" t="s">
        <v>207</v>
      </c>
      <c r="E60" s="14"/>
      <c r="F60" s="11"/>
    </row>
    <row r="61" spans="1:6" x14ac:dyDescent="0.25">
      <c r="A61" s="6" t="s">
        <v>146</v>
      </c>
      <c r="C61" s="53" t="s">
        <v>208</v>
      </c>
      <c r="E61" s="14"/>
      <c r="F61" s="11"/>
    </row>
    <row r="62" spans="1:6" x14ac:dyDescent="0.25">
      <c r="A62" s="6" t="s">
        <v>147</v>
      </c>
      <c r="C62" s="53" t="s">
        <v>209</v>
      </c>
      <c r="E62" s="14"/>
      <c r="F62" s="11"/>
    </row>
    <row r="63" spans="1:6" x14ac:dyDescent="0.25">
      <c r="A63" s="6" t="s">
        <v>148</v>
      </c>
      <c r="C63" s="53" t="s">
        <v>210</v>
      </c>
      <c r="E63" s="14"/>
      <c r="F63" s="11"/>
    </row>
    <row r="64" spans="1:6" x14ac:dyDescent="0.25">
      <c r="A64" s="6" t="s">
        <v>149</v>
      </c>
      <c r="C64" s="53" t="s">
        <v>211</v>
      </c>
      <c r="E64" s="14"/>
      <c r="F64" s="11"/>
    </row>
    <row r="65" spans="1:6" x14ac:dyDescent="0.25">
      <c r="A65" s="6" t="s">
        <v>150</v>
      </c>
      <c r="C65" s="53" t="s">
        <v>212</v>
      </c>
      <c r="E65" s="14"/>
      <c r="F65" s="11"/>
    </row>
    <row r="66" spans="1:6" x14ac:dyDescent="0.25">
      <c r="A66" s="6" t="s">
        <v>151</v>
      </c>
      <c r="C66" s="53" t="s">
        <v>213</v>
      </c>
      <c r="E66" s="14"/>
      <c r="F66" s="11"/>
    </row>
    <row r="67" spans="1:6" x14ac:dyDescent="0.25">
      <c r="A67" s="6"/>
      <c r="C67" s="53" t="s">
        <v>214</v>
      </c>
      <c r="E67" s="14"/>
      <c r="F67" s="11"/>
    </row>
    <row r="68" spans="1:6" x14ac:dyDescent="0.25">
      <c r="A68" s="6"/>
      <c r="C68" s="53" t="s">
        <v>215</v>
      </c>
      <c r="E68" s="14"/>
      <c r="F68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B919-A0AE-4945-B151-2DDA67D09046}">
  <dimension ref="A1:E4"/>
  <sheetViews>
    <sheetView workbookViewId="0">
      <selection sqref="A1:C4"/>
    </sheetView>
  </sheetViews>
  <sheetFormatPr defaultRowHeight="15" x14ac:dyDescent="0.25"/>
  <cols>
    <col min="1" max="1" width="12.5703125" bestFit="1" customWidth="1"/>
    <col min="3" max="3" width="16.5703125" bestFit="1" customWidth="1"/>
  </cols>
  <sheetData>
    <row r="1" spans="1:5" x14ac:dyDescent="0.25">
      <c r="A1" s="15" t="s">
        <v>243</v>
      </c>
      <c r="B1">
        <f>Monster!L17</f>
        <v>0</v>
      </c>
      <c r="C1" t="str">
        <f>_xlfn.CONCAT(A1, " ", B1, " ft.")</f>
        <v>Darkvision 0 ft.</v>
      </c>
    </row>
    <row r="2" spans="1:5" x14ac:dyDescent="0.25">
      <c r="A2" s="15" t="s">
        <v>244</v>
      </c>
      <c r="B2" s="53">
        <f>Monster!L18</f>
        <v>0</v>
      </c>
      <c r="C2" s="53" t="str">
        <f t="shared" ref="C2:C4" si="0">_xlfn.CONCAT(A2, " ", B2, " ft.")</f>
        <v>Blindsight 0 ft.</v>
      </c>
      <c r="E2" s="53"/>
    </row>
    <row r="3" spans="1:5" x14ac:dyDescent="0.25">
      <c r="A3" s="15" t="s">
        <v>245</v>
      </c>
      <c r="B3" s="53">
        <f>Monster!L19</f>
        <v>0</v>
      </c>
      <c r="C3" s="53" t="str">
        <f t="shared" si="0"/>
        <v>Tremorsense 0 ft.</v>
      </c>
    </row>
    <row r="4" spans="1:5" x14ac:dyDescent="0.25">
      <c r="A4" s="15" t="s">
        <v>246</v>
      </c>
      <c r="B4" s="53">
        <f>Monster!L20</f>
        <v>0</v>
      </c>
      <c r="C4" s="53" t="str">
        <f t="shared" si="0"/>
        <v>Truesight 0 ft.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3F98D-0C40-42C7-8FEE-6416095B3732}">
  <dimension ref="A1:L33"/>
  <sheetViews>
    <sheetView workbookViewId="0">
      <selection activeCell="H28" sqref="H28"/>
    </sheetView>
  </sheetViews>
  <sheetFormatPr defaultRowHeight="15" x14ac:dyDescent="0.25"/>
  <cols>
    <col min="1" max="1" width="28" bestFit="1" customWidth="1"/>
    <col min="3" max="3" width="14.85546875" bestFit="1" customWidth="1"/>
    <col min="4" max="4" width="14.140625" bestFit="1" customWidth="1"/>
    <col min="5" max="5" width="16.5703125" bestFit="1" customWidth="1"/>
    <col min="11" max="11" width="10.85546875" bestFit="1" customWidth="1"/>
  </cols>
  <sheetData>
    <row r="1" spans="1:12" ht="15" customHeight="1" x14ac:dyDescent="0.25">
      <c r="A1" s="63" t="s">
        <v>216</v>
      </c>
      <c r="B1" s="53" t="s">
        <v>227</v>
      </c>
      <c r="C1" s="53" t="s">
        <v>228</v>
      </c>
      <c r="D1" t="s">
        <v>229</v>
      </c>
      <c r="E1" t="s">
        <v>230</v>
      </c>
      <c r="K1" t="s">
        <v>231</v>
      </c>
    </row>
    <row r="2" spans="1:12" x14ac:dyDescent="0.25">
      <c r="C2">
        <v>0</v>
      </c>
      <c r="D2">
        <v>0</v>
      </c>
      <c r="E2">
        <v>0</v>
      </c>
      <c r="K2" t="s">
        <v>232</v>
      </c>
      <c r="L2">
        <v>1</v>
      </c>
    </row>
    <row r="3" spans="1:12" x14ac:dyDescent="0.25">
      <c r="A3" s="6" t="s">
        <v>140</v>
      </c>
      <c r="B3" s="53">
        <v>2</v>
      </c>
      <c r="C3">
        <f t="shared" ref="C3:C33" si="0">$L$2*$B3</f>
        <v>2</v>
      </c>
      <c r="D3" s="53">
        <f t="shared" ref="D3:D33" si="1">$L$3*$B3</f>
        <v>4</v>
      </c>
      <c r="E3" s="53">
        <f t="shared" ref="E3:E33" si="2">$L$4*$B3</f>
        <v>-4</v>
      </c>
      <c r="K3" t="s">
        <v>233</v>
      </c>
      <c r="L3">
        <v>2</v>
      </c>
    </row>
    <row r="4" spans="1:12" x14ac:dyDescent="0.25">
      <c r="A4" s="6" t="s">
        <v>141</v>
      </c>
      <c r="B4" s="53">
        <v>2</v>
      </c>
      <c r="C4" s="53">
        <f t="shared" si="0"/>
        <v>2</v>
      </c>
      <c r="D4" s="53">
        <f t="shared" si="1"/>
        <v>4</v>
      </c>
      <c r="E4" s="53">
        <f t="shared" si="2"/>
        <v>-4</v>
      </c>
      <c r="K4" t="s">
        <v>234</v>
      </c>
      <c r="L4">
        <v>-2</v>
      </c>
    </row>
    <row r="5" spans="1:12" x14ac:dyDescent="0.25">
      <c r="A5" s="6" t="s">
        <v>142</v>
      </c>
      <c r="B5" s="53">
        <v>2</v>
      </c>
      <c r="C5" s="53">
        <f t="shared" si="0"/>
        <v>2</v>
      </c>
      <c r="D5" s="53">
        <f t="shared" si="1"/>
        <v>4</v>
      </c>
      <c r="E5" s="53">
        <f t="shared" si="2"/>
        <v>-4</v>
      </c>
    </row>
    <row r="6" spans="1:12" x14ac:dyDescent="0.25">
      <c r="A6" s="6" t="s">
        <v>223</v>
      </c>
      <c r="B6" s="53">
        <v>3</v>
      </c>
      <c r="C6" s="53">
        <f t="shared" si="0"/>
        <v>3</v>
      </c>
      <c r="D6" s="53">
        <f t="shared" si="1"/>
        <v>6</v>
      </c>
      <c r="E6" s="53">
        <f t="shared" si="2"/>
        <v>-6</v>
      </c>
      <c r="K6" t="s">
        <v>235</v>
      </c>
    </row>
    <row r="7" spans="1:12" x14ac:dyDescent="0.25">
      <c r="A7" s="6" t="s">
        <v>224</v>
      </c>
      <c r="B7" s="53">
        <v>3</v>
      </c>
      <c r="C7" s="53">
        <f t="shared" si="0"/>
        <v>3</v>
      </c>
      <c r="D7" s="53">
        <f t="shared" si="1"/>
        <v>6</v>
      </c>
      <c r="E7" s="53">
        <f t="shared" si="2"/>
        <v>-6</v>
      </c>
      <c r="L7">
        <v>3</v>
      </c>
    </row>
    <row r="8" spans="1:12" x14ac:dyDescent="0.25">
      <c r="A8" s="6" t="s">
        <v>225</v>
      </c>
      <c r="B8" s="53">
        <v>3</v>
      </c>
      <c r="C8" s="53">
        <f t="shared" si="0"/>
        <v>3</v>
      </c>
      <c r="D8" s="53">
        <f t="shared" si="1"/>
        <v>6</v>
      </c>
      <c r="E8" s="53">
        <f t="shared" si="2"/>
        <v>-6</v>
      </c>
      <c r="K8" t="s">
        <v>232</v>
      </c>
      <c r="L8">
        <v>3</v>
      </c>
    </row>
    <row r="9" spans="1:12" x14ac:dyDescent="0.25">
      <c r="A9" s="6" t="s">
        <v>139</v>
      </c>
      <c r="B9" s="53">
        <v>1</v>
      </c>
      <c r="C9" s="53">
        <f t="shared" si="0"/>
        <v>1</v>
      </c>
      <c r="D9" s="53">
        <f t="shared" si="1"/>
        <v>2</v>
      </c>
      <c r="E9" s="53">
        <f t="shared" si="2"/>
        <v>-2</v>
      </c>
      <c r="K9" t="s">
        <v>233</v>
      </c>
      <c r="L9">
        <v>4</v>
      </c>
    </row>
    <row r="10" spans="1:12" x14ac:dyDescent="0.25">
      <c r="A10" s="6" t="s">
        <v>143</v>
      </c>
      <c r="B10" s="53">
        <v>1</v>
      </c>
      <c r="C10" s="53">
        <f t="shared" si="0"/>
        <v>1</v>
      </c>
      <c r="D10" s="53">
        <f t="shared" si="1"/>
        <v>2</v>
      </c>
      <c r="E10" s="53">
        <f t="shared" si="2"/>
        <v>-2</v>
      </c>
      <c r="K10" t="s">
        <v>234</v>
      </c>
      <c r="L10">
        <v>5</v>
      </c>
    </row>
    <row r="11" spans="1:12" x14ac:dyDescent="0.25">
      <c r="A11" s="62" t="s">
        <v>144</v>
      </c>
      <c r="B11" s="53">
        <v>2</v>
      </c>
      <c r="C11" s="53">
        <f t="shared" si="0"/>
        <v>2</v>
      </c>
      <c r="D11" s="53">
        <f t="shared" si="1"/>
        <v>4</v>
      </c>
      <c r="E11" s="53">
        <f t="shared" si="2"/>
        <v>-4</v>
      </c>
    </row>
    <row r="12" spans="1:12" x14ac:dyDescent="0.25">
      <c r="A12" s="62" t="s">
        <v>145</v>
      </c>
      <c r="B12" s="53">
        <v>0.5</v>
      </c>
      <c r="C12" s="53">
        <f t="shared" si="0"/>
        <v>0.5</v>
      </c>
      <c r="D12" s="53">
        <f t="shared" si="1"/>
        <v>1</v>
      </c>
      <c r="E12" s="53">
        <f t="shared" si="2"/>
        <v>-1</v>
      </c>
    </row>
    <row r="13" spans="1:12" x14ac:dyDescent="0.25">
      <c r="A13" s="62" t="s">
        <v>146</v>
      </c>
      <c r="B13" s="53">
        <v>1</v>
      </c>
      <c r="C13" s="53">
        <f t="shared" si="0"/>
        <v>1</v>
      </c>
      <c r="D13" s="53">
        <f t="shared" si="1"/>
        <v>2</v>
      </c>
      <c r="E13" s="53">
        <f t="shared" si="2"/>
        <v>-2</v>
      </c>
    </row>
    <row r="14" spans="1:12" x14ac:dyDescent="0.25">
      <c r="A14" s="62" t="s">
        <v>147</v>
      </c>
      <c r="B14" s="53">
        <v>1</v>
      </c>
      <c r="C14" s="53">
        <f t="shared" si="0"/>
        <v>1</v>
      </c>
      <c r="D14" s="53">
        <f t="shared" si="1"/>
        <v>2</v>
      </c>
      <c r="E14" s="53">
        <f t="shared" si="2"/>
        <v>-2</v>
      </c>
    </row>
    <row r="15" spans="1:12" x14ac:dyDescent="0.25">
      <c r="A15" s="62" t="s">
        <v>148</v>
      </c>
      <c r="B15" s="53">
        <v>1</v>
      </c>
      <c r="C15" s="53">
        <f t="shared" si="0"/>
        <v>1</v>
      </c>
      <c r="D15" s="53">
        <f t="shared" si="1"/>
        <v>2</v>
      </c>
      <c r="E15" s="53">
        <f t="shared" si="2"/>
        <v>-2</v>
      </c>
    </row>
    <row r="16" spans="1:12" x14ac:dyDescent="0.25">
      <c r="A16" s="62" t="s">
        <v>149</v>
      </c>
      <c r="B16" s="53">
        <v>1</v>
      </c>
      <c r="C16" s="53">
        <f t="shared" si="0"/>
        <v>1</v>
      </c>
      <c r="D16" s="53">
        <f t="shared" si="1"/>
        <v>2</v>
      </c>
      <c r="E16" s="53">
        <f t="shared" si="2"/>
        <v>-2</v>
      </c>
    </row>
    <row r="17" spans="1:5" x14ac:dyDescent="0.25">
      <c r="A17" s="62" t="s">
        <v>150</v>
      </c>
      <c r="B17" s="53">
        <v>1</v>
      </c>
      <c r="C17" s="53">
        <f t="shared" si="0"/>
        <v>1</v>
      </c>
      <c r="D17" s="53">
        <f t="shared" si="1"/>
        <v>2</v>
      </c>
      <c r="E17" s="53">
        <f t="shared" si="2"/>
        <v>-2</v>
      </c>
    </row>
    <row r="18" spans="1:5" x14ac:dyDescent="0.25">
      <c r="A18" s="62" t="s">
        <v>151</v>
      </c>
      <c r="B18" s="53">
        <v>1</v>
      </c>
      <c r="C18" s="53">
        <f t="shared" si="0"/>
        <v>1</v>
      </c>
      <c r="D18" s="53">
        <f t="shared" si="1"/>
        <v>2</v>
      </c>
      <c r="E18" s="53">
        <f t="shared" si="2"/>
        <v>-2</v>
      </c>
    </row>
    <row r="19" spans="1:5" x14ac:dyDescent="0.25">
      <c r="A19" s="61" t="s">
        <v>201</v>
      </c>
      <c r="B19" s="53">
        <v>1</v>
      </c>
      <c r="C19" s="53">
        <f t="shared" si="0"/>
        <v>1</v>
      </c>
      <c r="D19" s="53">
        <f t="shared" si="1"/>
        <v>2</v>
      </c>
      <c r="E19" s="53">
        <f t="shared" si="2"/>
        <v>-2</v>
      </c>
    </row>
    <row r="20" spans="1:5" x14ac:dyDescent="0.25">
      <c r="A20" s="61" t="s">
        <v>202</v>
      </c>
      <c r="B20" s="53">
        <v>1</v>
      </c>
      <c r="C20" s="53">
        <f t="shared" si="0"/>
        <v>1</v>
      </c>
      <c r="D20" s="53">
        <f t="shared" si="1"/>
        <v>2</v>
      </c>
      <c r="E20" s="53">
        <f t="shared" si="2"/>
        <v>-2</v>
      </c>
    </row>
    <row r="21" spans="1:5" x14ac:dyDescent="0.25">
      <c r="A21" s="61" t="s">
        <v>203</v>
      </c>
      <c r="B21" s="53">
        <v>1</v>
      </c>
      <c r="C21" s="53">
        <f t="shared" si="0"/>
        <v>1</v>
      </c>
      <c r="D21" s="53">
        <f t="shared" si="1"/>
        <v>2</v>
      </c>
      <c r="E21" s="53">
        <f t="shared" si="2"/>
        <v>-2</v>
      </c>
    </row>
    <row r="22" spans="1:5" x14ac:dyDescent="0.25">
      <c r="A22" s="61" t="s">
        <v>204</v>
      </c>
      <c r="B22" s="53">
        <v>1</v>
      </c>
      <c r="C22" s="53">
        <f t="shared" si="0"/>
        <v>1</v>
      </c>
      <c r="D22" s="53">
        <f t="shared" si="1"/>
        <v>2</v>
      </c>
      <c r="E22" s="53">
        <f t="shared" si="2"/>
        <v>-2</v>
      </c>
    </row>
    <row r="23" spans="1:5" x14ac:dyDescent="0.25">
      <c r="A23" s="61" t="s">
        <v>205</v>
      </c>
      <c r="B23" s="53">
        <v>1</v>
      </c>
      <c r="C23" s="53">
        <f t="shared" si="0"/>
        <v>1</v>
      </c>
      <c r="D23" s="53">
        <f t="shared" si="1"/>
        <v>2</v>
      </c>
      <c r="E23" s="53">
        <f t="shared" si="2"/>
        <v>-2</v>
      </c>
    </row>
    <row r="24" spans="1:5" x14ac:dyDescent="0.25">
      <c r="A24" s="61" t="s">
        <v>206</v>
      </c>
      <c r="B24" s="53">
        <v>1</v>
      </c>
      <c r="C24" s="53">
        <f t="shared" si="0"/>
        <v>1</v>
      </c>
      <c r="D24" s="53">
        <f t="shared" si="1"/>
        <v>2</v>
      </c>
      <c r="E24" s="53">
        <f t="shared" si="2"/>
        <v>-2</v>
      </c>
    </row>
    <row r="25" spans="1:5" x14ac:dyDescent="0.25">
      <c r="A25" s="61" t="s">
        <v>207</v>
      </c>
      <c r="B25" s="53">
        <v>1</v>
      </c>
      <c r="C25" s="53">
        <f t="shared" si="0"/>
        <v>1</v>
      </c>
      <c r="D25" s="53">
        <f t="shared" si="1"/>
        <v>2</v>
      </c>
      <c r="E25" s="53">
        <f t="shared" si="2"/>
        <v>-2</v>
      </c>
    </row>
    <row r="26" spans="1:5" x14ac:dyDescent="0.25">
      <c r="A26" s="61" t="s">
        <v>208</v>
      </c>
      <c r="B26" s="53">
        <v>1</v>
      </c>
      <c r="C26" s="53">
        <f t="shared" si="0"/>
        <v>1</v>
      </c>
      <c r="D26" s="53">
        <f t="shared" si="1"/>
        <v>2</v>
      </c>
      <c r="E26" s="53">
        <f t="shared" si="2"/>
        <v>-2</v>
      </c>
    </row>
    <row r="27" spans="1:5" x14ac:dyDescent="0.25">
      <c r="A27" s="61" t="s">
        <v>209</v>
      </c>
      <c r="B27" s="53">
        <v>1</v>
      </c>
      <c r="C27" s="53">
        <f t="shared" si="0"/>
        <v>1</v>
      </c>
      <c r="D27" s="53">
        <f t="shared" si="1"/>
        <v>2</v>
      </c>
      <c r="E27" s="53">
        <f t="shared" si="2"/>
        <v>-2</v>
      </c>
    </row>
    <row r="28" spans="1:5" x14ac:dyDescent="0.25">
      <c r="A28" s="61" t="s">
        <v>210</v>
      </c>
      <c r="B28" s="53">
        <v>1</v>
      </c>
      <c r="C28" s="53">
        <f t="shared" si="0"/>
        <v>1</v>
      </c>
      <c r="D28" s="53">
        <f t="shared" si="1"/>
        <v>2</v>
      </c>
      <c r="E28" s="53">
        <f t="shared" si="2"/>
        <v>-2</v>
      </c>
    </row>
    <row r="29" spans="1:5" x14ac:dyDescent="0.25">
      <c r="A29" s="61" t="s">
        <v>211</v>
      </c>
      <c r="B29" s="53">
        <v>1</v>
      </c>
      <c r="C29" s="53">
        <f t="shared" si="0"/>
        <v>1</v>
      </c>
      <c r="D29" s="53">
        <f t="shared" si="1"/>
        <v>2</v>
      </c>
      <c r="E29" s="53">
        <f t="shared" si="2"/>
        <v>-2</v>
      </c>
    </row>
    <row r="30" spans="1:5" x14ac:dyDescent="0.25">
      <c r="A30" s="61" t="s">
        <v>212</v>
      </c>
      <c r="B30" s="53">
        <v>1</v>
      </c>
      <c r="C30" s="53">
        <f t="shared" si="0"/>
        <v>1</v>
      </c>
      <c r="D30" s="53">
        <f t="shared" si="1"/>
        <v>2</v>
      </c>
      <c r="E30" s="53">
        <f t="shared" si="2"/>
        <v>-2</v>
      </c>
    </row>
    <row r="31" spans="1:5" x14ac:dyDescent="0.25">
      <c r="A31" s="61" t="s">
        <v>213</v>
      </c>
      <c r="B31" s="53">
        <v>1</v>
      </c>
      <c r="C31" s="53">
        <f t="shared" si="0"/>
        <v>1</v>
      </c>
      <c r="D31" s="53">
        <f t="shared" si="1"/>
        <v>2</v>
      </c>
      <c r="E31" s="53">
        <f t="shared" si="2"/>
        <v>-2</v>
      </c>
    </row>
    <row r="32" spans="1:5" x14ac:dyDescent="0.25">
      <c r="A32" s="61" t="s">
        <v>214</v>
      </c>
      <c r="B32" s="53">
        <v>1</v>
      </c>
      <c r="C32" s="53">
        <f t="shared" si="0"/>
        <v>1</v>
      </c>
      <c r="D32" s="53">
        <f t="shared" si="1"/>
        <v>2</v>
      </c>
      <c r="E32" s="53">
        <f t="shared" si="2"/>
        <v>-2</v>
      </c>
    </row>
    <row r="33" spans="1:5" x14ac:dyDescent="0.25">
      <c r="A33" s="61" t="s">
        <v>215</v>
      </c>
      <c r="B33" s="53">
        <v>1</v>
      </c>
      <c r="C33" s="53">
        <f t="shared" si="0"/>
        <v>1</v>
      </c>
      <c r="D33" s="53">
        <f t="shared" si="1"/>
        <v>2</v>
      </c>
      <c r="E33" s="53">
        <f t="shared" si="2"/>
        <v>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883EA-0C74-4BA7-89A4-637B39D03158}">
  <dimension ref="A1:G35"/>
  <sheetViews>
    <sheetView workbookViewId="0">
      <selection sqref="A1:B35"/>
    </sheetView>
  </sheetViews>
  <sheetFormatPr defaultRowHeight="15" x14ac:dyDescent="0.25"/>
  <cols>
    <col min="1" max="1" width="6.28515625" bestFit="1" customWidth="1"/>
    <col min="2" max="2" width="10.85546875" bestFit="1" customWidth="1"/>
  </cols>
  <sheetData>
    <row r="1" spans="1:7" x14ac:dyDescent="0.25">
      <c r="A1" s="53" t="s">
        <v>30</v>
      </c>
      <c r="B1" s="53" t="s">
        <v>242</v>
      </c>
      <c r="E1" s="53"/>
      <c r="F1" s="53"/>
      <c r="G1" s="53"/>
    </row>
    <row r="2" spans="1:7" x14ac:dyDescent="0.25">
      <c r="A2" s="64">
        <v>0</v>
      </c>
      <c r="B2" s="53">
        <v>0</v>
      </c>
      <c r="E2" s="53"/>
      <c r="F2" s="53"/>
      <c r="G2" s="53"/>
    </row>
    <row r="3" spans="1:7" x14ac:dyDescent="0.25">
      <c r="A3" s="64">
        <v>0.125</v>
      </c>
      <c r="B3" s="53">
        <v>25</v>
      </c>
      <c r="E3" s="53"/>
      <c r="F3" s="53"/>
      <c r="G3" s="53"/>
    </row>
    <row r="4" spans="1:7" x14ac:dyDescent="0.25">
      <c r="A4" s="64">
        <v>0.25</v>
      </c>
      <c r="B4" s="53">
        <v>50</v>
      </c>
      <c r="E4" s="53"/>
      <c r="F4" s="53"/>
      <c r="G4" s="53"/>
    </row>
    <row r="5" spans="1:7" x14ac:dyDescent="0.25">
      <c r="A5" s="64">
        <v>0.5</v>
      </c>
      <c r="B5" s="53">
        <v>100</v>
      </c>
      <c r="E5" s="53"/>
      <c r="F5" s="53"/>
      <c r="G5" s="53"/>
    </row>
    <row r="6" spans="1:7" x14ac:dyDescent="0.25">
      <c r="A6" s="64">
        <v>1</v>
      </c>
      <c r="B6" s="53">
        <v>200</v>
      </c>
      <c r="E6" s="53"/>
      <c r="F6" s="53"/>
      <c r="G6" s="53"/>
    </row>
    <row r="7" spans="1:7" x14ac:dyDescent="0.25">
      <c r="A7" s="64">
        <v>2</v>
      </c>
      <c r="B7" s="53">
        <v>450</v>
      </c>
      <c r="E7" s="53"/>
      <c r="F7" s="53"/>
      <c r="G7" s="53"/>
    </row>
    <row r="8" spans="1:7" x14ac:dyDescent="0.25">
      <c r="A8" s="64">
        <v>3</v>
      </c>
      <c r="B8" s="53">
        <v>700</v>
      </c>
      <c r="E8" s="53"/>
      <c r="F8" s="53"/>
      <c r="G8" s="53"/>
    </row>
    <row r="9" spans="1:7" x14ac:dyDescent="0.25">
      <c r="A9" s="64">
        <v>4</v>
      </c>
      <c r="B9" s="53">
        <v>1100</v>
      </c>
      <c r="E9" s="53"/>
      <c r="F9" s="53"/>
      <c r="G9" s="53"/>
    </row>
    <row r="10" spans="1:7" x14ac:dyDescent="0.25">
      <c r="A10" s="64">
        <v>5</v>
      </c>
      <c r="B10" s="53">
        <v>1800</v>
      </c>
      <c r="E10" s="53"/>
      <c r="F10" s="53"/>
      <c r="G10" s="53"/>
    </row>
    <row r="11" spans="1:7" x14ac:dyDescent="0.25">
      <c r="A11" s="64">
        <v>6</v>
      </c>
      <c r="B11" s="53">
        <v>2300</v>
      </c>
      <c r="E11" s="53"/>
      <c r="F11" s="53"/>
      <c r="G11" s="53"/>
    </row>
    <row r="12" spans="1:7" x14ac:dyDescent="0.25">
      <c r="A12" s="64">
        <v>7</v>
      </c>
      <c r="B12" s="53">
        <v>2900</v>
      </c>
      <c r="E12" s="53"/>
      <c r="F12" s="53"/>
      <c r="G12" s="53"/>
    </row>
    <row r="13" spans="1:7" x14ac:dyDescent="0.25">
      <c r="A13" s="64">
        <v>8</v>
      </c>
      <c r="B13" s="53">
        <v>3900</v>
      </c>
      <c r="E13" s="53"/>
      <c r="F13" s="53"/>
      <c r="G13" s="53"/>
    </row>
    <row r="14" spans="1:7" x14ac:dyDescent="0.25">
      <c r="A14" s="64">
        <v>9</v>
      </c>
      <c r="B14" s="53">
        <v>5000</v>
      </c>
      <c r="E14" s="53"/>
      <c r="F14" s="53"/>
      <c r="G14" s="53"/>
    </row>
    <row r="15" spans="1:7" x14ac:dyDescent="0.25">
      <c r="A15" s="64">
        <v>10</v>
      </c>
      <c r="B15" s="53">
        <v>5900</v>
      </c>
      <c r="E15" s="53"/>
      <c r="F15" s="53"/>
      <c r="G15" s="53"/>
    </row>
    <row r="16" spans="1:7" x14ac:dyDescent="0.25">
      <c r="A16" s="64">
        <v>11</v>
      </c>
      <c r="B16" s="53">
        <v>7200</v>
      </c>
      <c r="E16" s="53"/>
      <c r="F16" s="53"/>
      <c r="G16" s="53"/>
    </row>
    <row r="17" spans="1:7" x14ac:dyDescent="0.25">
      <c r="A17" s="64">
        <v>12</v>
      </c>
      <c r="B17" s="53">
        <v>8400</v>
      </c>
      <c r="E17" s="53"/>
      <c r="F17" s="53"/>
      <c r="G17" s="53"/>
    </row>
    <row r="18" spans="1:7" x14ac:dyDescent="0.25">
      <c r="A18" s="64">
        <v>13</v>
      </c>
      <c r="B18" s="53">
        <v>10000</v>
      </c>
      <c r="E18" s="53"/>
      <c r="F18" s="53"/>
      <c r="G18" s="53"/>
    </row>
    <row r="19" spans="1:7" x14ac:dyDescent="0.25">
      <c r="A19" s="64">
        <v>14</v>
      </c>
      <c r="B19" s="53">
        <v>11500</v>
      </c>
    </row>
    <row r="20" spans="1:7" x14ac:dyDescent="0.25">
      <c r="A20" s="64">
        <v>15</v>
      </c>
      <c r="B20" s="53">
        <v>13000</v>
      </c>
    </row>
    <row r="21" spans="1:7" x14ac:dyDescent="0.25">
      <c r="A21" s="64">
        <v>16</v>
      </c>
      <c r="B21" s="53">
        <v>15000</v>
      </c>
    </row>
    <row r="22" spans="1:7" x14ac:dyDescent="0.25">
      <c r="A22" s="64">
        <v>17</v>
      </c>
      <c r="B22" s="53">
        <v>18000</v>
      </c>
    </row>
    <row r="23" spans="1:7" x14ac:dyDescent="0.25">
      <c r="A23" s="64">
        <v>18</v>
      </c>
      <c r="B23" s="53">
        <v>20000</v>
      </c>
    </row>
    <row r="24" spans="1:7" x14ac:dyDescent="0.25">
      <c r="A24" s="64">
        <v>19</v>
      </c>
      <c r="B24" s="53">
        <v>22000</v>
      </c>
    </row>
    <row r="25" spans="1:7" x14ac:dyDescent="0.25">
      <c r="A25" s="64">
        <v>20</v>
      </c>
      <c r="B25" s="53">
        <v>25000</v>
      </c>
    </row>
    <row r="26" spans="1:7" x14ac:dyDescent="0.25">
      <c r="A26" s="64">
        <v>21</v>
      </c>
      <c r="B26" s="53">
        <v>33000</v>
      </c>
    </row>
    <row r="27" spans="1:7" x14ac:dyDescent="0.25">
      <c r="A27" s="64">
        <v>22</v>
      </c>
      <c r="B27" s="53">
        <v>41000</v>
      </c>
    </row>
    <row r="28" spans="1:7" x14ac:dyDescent="0.25">
      <c r="A28" s="64">
        <v>23</v>
      </c>
      <c r="B28" s="53">
        <v>50000</v>
      </c>
    </row>
    <row r="29" spans="1:7" x14ac:dyDescent="0.25">
      <c r="A29" s="64">
        <v>24</v>
      </c>
      <c r="B29" s="53">
        <v>62000</v>
      </c>
    </row>
    <row r="30" spans="1:7" x14ac:dyDescent="0.25">
      <c r="A30" s="64">
        <v>25</v>
      </c>
      <c r="B30" s="53">
        <v>75000</v>
      </c>
    </row>
    <row r="31" spans="1:7" x14ac:dyDescent="0.25">
      <c r="A31" s="64">
        <v>26</v>
      </c>
      <c r="B31" s="53">
        <v>90000</v>
      </c>
    </row>
    <row r="32" spans="1:7" x14ac:dyDescent="0.25">
      <c r="A32" s="64">
        <v>27</v>
      </c>
      <c r="B32" s="53">
        <v>105000</v>
      </c>
    </row>
    <row r="33" spans="1:2" x14ac:dyDescent="0.25">
      <c r="A33" s="64">
        <v>28</v>
      </c>
      <c r="B33" s="53">
        <v>120000</v>
      </c>
    </row>
    <row r="34" spans="1:2" x14ac:dyDescent="0.25">
      <c r="A34" s="64">
        <v>29</v>
      </c>
      <c r="B34" s="53">
        <v>135000</v>
      </c>
    </row>
    <row r="35" spans="1:2" x14ac:dyDescent="0.25">
      <c r="A35" s="64">
        <v>30</v>
      </c>
      <c r="B35" s="53">
        <v>155000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Monster</vt:lpstr>
      <vt:lpstr>Attacks</vt:lpstr>
      <vt:lpstr>Speed</vt:lpstr>
      <vt:lpstr>Skills</vt:lpstr>
      <vt:lpstr>Saves</vt:lpstr>
      <vt:lpstr>DMG</vt:lpstr>
      <vt:lpstr>Senses</vt:lpstr>
      <vt:lpstr>Condition &amp; Damage Types</vt:lpstr>
      <vt:lpstr>XP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yurkiw</dc:creator>
  <cp:lastModifiedBy>jeff yurkiw</cp:lastModifiedBy>
  <dcterms:created xsi:type="dcterms:W3CDTF">2021-03-13T20:35:37Z</dcterms:created>
  <dcterms:modified xsi:type="dcterms:W3CDTF">2021-11-11T07:24:01Z</dcterms:modified>
</cp:coreProperties>
</file>